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tmp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2"/>
  </bookViews>
  <sheets>
    <sheet name="план" sheetId="1" r:id="rId1"/>
    <sheet name="разбиение" sheetId="6" r:id="rId2"/>
    <sheet name="V гексы" sheetId="2" r:id="rId3"/>
    <sheet name="!V гексы через якобиан" sheetId="3" r:id="rId4"/>
    <sheet name="!V пенты через якобиан" sheetId="4" r:id="rId5"/>
    <sheet name="!V тэтраэдра через Якобиан" sheetId="5" r:id="rId6"/>
  </sheets>
  <calcPr calcId="152511"/>
</workbook>
</file>

<file path=xl/calcChain.xml><?xml version="1.0" encoding="utf-8"?>
<calcChain xmlns="http://schemas.openxmlformats.org/spreadsheetml/2006/main">
  <c r="E14" i="3" l="1"/>
  <c r="V45" i="3" l="1"/>
  <c r="G40" i="4" l="1"/>
  <c r="J39" i="4"/>
  <c r="H39" i="4"/>
  <c r="G39" i="4"/>
  <c r="E39" i="4"/>
  <c r="C39" i="4"/>
  <c r="J40" i="4" s="1"/>
  <c r="I38" i="4"/>
  <c r="H38" i="4"/>
  <c r="F38" i="4"/>
  <c r="E38" i="4"/>
  <c r="C38" i="4"/>
  <c r="F40" i="4" s="1"/>
  <c r="C29" i="4"/>
  <c r="G30" i="4" s="1"/>
  <c r="C28" i="4"/>
  <c r="C25" i="4"/>
  <c r="C24" i="4"/>
  <c r="E28" i="4"/>
  <c r="J29" i="4"/>
  <c r="H29" i="4"/>
  <c r="G29" i="4"/>
  <c r="E29" i="4"/>
  <c r="J30" i="4"/>
  <c r="I28" i="4"/>
  <c r="H28" i="4"/>
  <c r="F28" i="4"/>
  <c r="F30" i="4"/>
  <c r="J26" i="4"/>
  <c r="I26" i="4"/>
  <c r="H26" i="4"/>
  <c r="G26" i="4"/>
  <c r="F26" i="4"/>
  <c r="E26" i="4"/>
  <c r="J25" i="4"/>
  <c r="H25" i="4"/>
  <c r="G25" i="4"/>
  <c r="E25" i="4"/>
  <c r="I24" i="4"/>
  <c r="H24" i="4"/>
  <c r="F24" i="4"/>
  <c r="E24" i="4"/>
  <c r="E15" i="3"/>
  <c r="J49" i="2"/>
  <c r="H40" i="4" l="1"/>
  <c r="E40" i="4"/>
  <c r="L38" i="4" s="1" a="1"/>
  <c r="I40" i="4"/>
  <c r="L24" i="4" a="1"/>
  <c r="L24" i="4" s="1"/>
  <c r="H30" i="4"/>
  <c r="E30" i="4"/>
  <c r="L28" i="4" s="1" a="1"/>
  <c r="I30" i="4"/>
  <c r="N39" i="4" l="1"/>
  <c r="M38" i="4"/>
  <c r="L40" i="4"/>
  <c r="N38" i="4"/>
  <c r="N40" i="4"/>
  <c r="M39" i="4"/>
  <c r="L38" i="4"/>
  <c r="M40" i="4"/>
  <c r="L39" i="4"/>
  <c r="L25" i="4"/>
  <c r="M26" i="4"/>
  <c r="M24" i="4"/>
  <c r="M25" i="4"/>
  <c r="N26" i="4"/>
  <c r="N25" i="4"/>
  <c r="L26" i="4"/>
  <c r="N24" i="4"/>
  <c r="L28" i="4"/>
  <c r="N28" i="4"/>
  <c r="M29" i="4"/>
  <c r="M28" i="4"/>
  <c r="L30" i="4"/>
  <c r="N30" i="4"/>
  <c r="M30" i="4"/>
  <c r="N29" i="4"/>
  <c r="L29" i="4"/>
  <c r="P38" i="4" l="1"/>
  <c r="R38" i="4" s="1"/>
  <c r="P24" i="4"/>
  <c r="R24" i="4" s="1"/>
  <c r="P28" i="4"/>
  <c r="R28" i="4" s="1"/>
  <c r="R31" i="4" l="1"/>
  <c r="Q34" i="4" s="1"/>
  <c r="R34" i="4" s="1"/>
  <c r="H15" i="3" l="1"/>
  <c r="H34" i="2"/>
  <c r="S3" i="5"/>
  <c r="L44" i="3" l="1"/>
  <c r="K44" i="3"/>
  <c r="J44" i="3"/>
  <c r="I44" i="3"/>
  <c r="H44" i="3"/>
  <c r="G44" i="3"/>
  <c r="F44" i="3"/>
  <c r="E44" i="3"/>
  <c r="L43" i="3"/>
  <c r="K43" i="3"/>
  <c r="J43" i="3"/>
  <c r="I43" i="3"/>
  <c r="H43" i="3"/>
  <c r="G43" i="3"/>
  <c r="F43" i="3"/>
  <c r="E43" i="3"/>
  <c r="N42" i="3" s="1" a="1"/>
  <c r="P44" i="3" s="1"/>
  <c r="T44" i="3" s="1"/>
  <c r="L42" i="3"/>
  <c r="K42" i="3"/>
  <c r="J42" i="3"/>
  <c r="I42" i="3"/>
  <c r="H42" i="3"/>
  <c r="G42" i="3"/>
  <c r="F42" i="3"/>
  <c r="E42" i="3"/>
  <c r="L40" i="3"/>
  <c r="K40" i="3"/>
  <c r="J40" i="3"/>
  <c r="I40" i="3"/>
  <c r="H40" i="3"/>
  <c r="G40" i="3"/>
  <c r="F40" i="3"/>
  <c r="E40" i="3"/>
  <c r="L39" i="3"/>
  <c r="K39" i="3"/>
  <c r="J39" i="3"/>
  <c r="I39" i="3"/>
  <c r="H39" i="3"/>
  <c r="G39" i="3"/>
  <c r="F39" i="3"/>
  <c r="E39" i="3"/>
  <c r="L38" i="3"/>
  <c r="K38" i="3"/>
  <c r="J38" i="3"/>
  <c r="I38" i="3"/>
  <c r="H38" i="3"/>
  <c r="G38" i="3"/>
  <c r="F38" i="3"/>
  <c r="E38" i="3"/>
  <c r="L36" i="3"/>
  <c r="K36" i="3"/>
  <c r="J36" i="3"/>
  <c r="I36" i="3"/>
  <c r="H36" i="3"/>
  <c r="G36" i="3"/>
  <c r="F36" i="3"/>
  <c r="E36" i="3"/>
  <c r="L35" i="3"/>
  <c r="K35" i="3"/>
  <c r="J35" i="3"/>
  <c r="I35" i="3"/>
  <c r="H35" i="3"/>
  <c r="G35" i="3"/>
  <c r="F35" i="3"/>
  <c r="E35" i="3"/>
  <c r="L34" i="3"/>
  <c r="K34" i="3"/>
  <c r="J34" i="3"/>
  <c r="I34" i="3"/>
  <c r="H34" i="3"/>
  <c r="G34" i="3"/>
  <c r="F34" i="3"/>
  <c r="E34" i="3"/>
  <c r="L32" i="3"/>
  <c r="K32" i="3"/>
  <c r="J32" i="3"/>
  <c r="I32" i="3"/>
  <c r="H32" i="3"/>
  <c r="G32" i="3"/>
  <c r="F32" i="3"/>
  <c r="E32" i="3"/>
  <c r="L31" i="3"/>
  <c r="K31" i="3"/>
  <c r="J31" i="3"/>
  <c r="I31" i="3"/>
  <c r="H31" i="3"/>
  <c r="G31" i="3"/>
  <c r="F31" i="3"/>
  <c r="E31" i="3"/>
  <c r="L30" i="3"/>
  <c r="K30" i="3"/>
  <c r="J30" i="3"/>
  <c r="I30" i="3"/>
  <c r="H30" i="3"/>
  <c r="G30" i="3"/>
  <c r="F30" i="3"/>
  <c r="E30" i="3"/>
  <c r="L28" i="3"/>
  <c r="K28" i="3"/>
  <c r="J28" i="3"/>
  <c r="I28" i="3"/>
  <c r="H28" i="3"/>
  <c r="G28" i="3"/>
  <c r="F28" i="3"/>
  <c r="E28" i="3"/>
  <c r="L27" i="3"/>
  <c r="K27" i="3"/>
  <c r="J27" i="3"/>
  <c r="I27" i="3"/>
  <c r="H27" i="3"/>
  <c r="G27" i="3"/>
  <c r="F27" i="3"/>
  <c r="E27" i="3"/>
  <c r="L26" i="3"/>
  <c r="K26" i="3"/>
  <c r="J26" i="3"/>
  <c r="I26" i="3"/>
  <c r="H26" i="3"/>
  <c r="G26" i="3"/>
  <c r="F26" i="3"/>
  <c r="E26" i="3"/>
  <c r="L24" i="3"/>
  <c r="K24" i="3"/>
  <c r="J24" i="3"/>
  <c r="I24" i="3"/>
  <c r="H24" i="3"/>
  <c r="G24" i="3"/>
  <c r="F24" i="3"/>
  <c r="E24" i="3"/>
  <c r="L23" i="3"/>
  <c r="K23" i="3"/>
  <c r="J23" i="3"/>
  <c r="I23" i="3"/>
  <c r="H23" i="3"/>
  <c r="G23" i="3"/>
  <c r="F23" i="3"/>
  <c r="E23" i="3"/>
  <c r="L22" i="3"/>
  <c r="K22" i="3"/>
  <c r="J22" i="3"/>
  <c r="I22" i="3"/>
  <c r="H22" i="3"/>
  <c r="G22" i="3"/>
  <c r="F22" i="3"/>
  <c r="E22" i="3"/>
  <c r="L20" i="3"/>
  <c r="K20" i="3"/>
  <c r="J20" i="3"/>
  <c r="I20" i="3"/>
  <c r="H20" i="3"/>
  <c r="G20" i="3"/>
  <c r="F20" i="3"/>
  <c r="E20" i="3"/>
  <c r="L19" i="3"/>
  <c r="K19" i="3"/>
  <c r="J19" i="3"/>
  <c r="I19" i="3"/>
  <c r="H19" i="3"/>
  <c r="G19" i="3"/>
  <c r="F19" i="3"/>
  <c r="E19" i="3"/>
  <c r="L18" i="3"/>
  <c r="K18" i="3"/>
  <c r="J18" i="3"/>
  <c r="I18" i="3"/>
  <c r="H18" i="3"/>
  <c r="G18" i="3"/>
  <c r="F18" i="3"/>
  <c r="E18" i="3"/>
  <c r="N38" i="3" l="1" a="1"/>
  <c r="O40" i="3" s="1"/>
  <c r="S40" i="3" s="1"/>
  <c r="N34" i="3" a="1"/>
  <c r="N36" i="3" s="1"/>
  <c r="R36" i="3" s="1"/>
  <c r="N30" i="3" a="1"/>
  <c r="P32" i="3" s="1"/>
  <c r="T32" i="3" s="1"/>
  <c r="N26" i="3" a="1"/>
  <c r="P28" i="3" s="1"/>
  <c r="T28" i="3" s="1"/>
  <c r="N22" i="3" a="1"/>
  <c r="N22" i="3" s="1"/>
  <c r="R22" i="3" s="1"/>
  <c r="N18" i="3" a="1"/>
  <c r="N18" i="3" s="1"/>
  <c r="R18" i="3" s="1"/>
  <c r="N43" i="3"/>
  <c r="R43" i="3" s="1"/>
  <c r="O44" i="3"/>
  <c r="S44" i="3" s="1"/>
  <c r="O42" i="3"/>
  <c r="S42" i="3" s="1"/>
  <c r="P43" i="3"/>
  <c r="T43" i="3" s="1"/>
  <c r="P42" i="3"/>
  <c r="T42" i="3" s="1"/>
  <c r="N44" i="3"/>
  <c r="R44" i="3" s="1"/>
  <c r="N42" i="3"/>
  <c r="R42" i="3" s="1"/>
  <c r="O43" i="3"/>
  <c r="S43" i="3" s="1"/>
  <c r="H4" i="3"/>
  <c r="V42" i="3" l="1"/>
  <c r="P38" i="3"/>
  <c r="T38" i="3" s="1"/>
  <c r="O39" i="3"/>
  <c r="S39" i="3" s="1"/>
  <c r="N38" i="3"/>
  <c r="R38" i="3" s="1"/>
  <c r="P39" i="3"/>
  <c r="T39" i="3" s="1"/>
  <c r="O38" i="3"/>
  <c r="S38" i="3" s="1"/>
  <c r="N39" i="3"/>
  <c r="R39" i="3" s="1"/>
  <c r="N40" i="3"/>
  <c r="R40" i="3" s="1"/>
  <c r="P40" i="3"/>
  <c r="T40" i="3" s="1"/>
  <c r="P35" i="3"/>
  <c r="T35" i="3" s="1"/>
  <c r="P34" i="3"/>
  <c r="T34" i="3" s="1"/>
  <c r="O35" i="3"/>
  <c r="S35" i="3" s="1"/>
  <c r="N34" i="3"/>
  <c r="R34" i="3" s="1"/>
  <c r="O34" i="3"/>
  <c r="S34" i="3" s="1"/>
  <c r="O36" i="3"/>
  <c r="S36" i="3" s="1"/>
  <c r="P36" i="3"/>
  <c r="T36" i="3" s="1"/>
  <c r="N35" i="3"/>
  <c r="R35" i="3" s="1"/>
  <c r="O31" i="3"/>
  <c r="S31" i="3" s="1"/>
  <c r="N32" i="3"/>
  <c r="R32" i="3" s="1"/>
  <c r="N30" i="3"/>
  <c r="R30" i="3" s="1"/>
  <c r="P30" i="3"/>
  <c r="T30" i="3" s="1"/>
  <c r="O32" i="3"/>
  <c r="S32" i="3" s="1"/>
  <c r="P31" i="3"/>
  <c r="T31" i="3" s="1"/>
  <c r="N31" i="3"/>
  <c r="R31" i="3" s="1"/>
  <c r="O30" i="3"/>
  <c r="S30" i="3" s="1"/>
  <c r="O26" i="3"/>
  <c r="S26" i="3" s="1"/>
  <c r="P26" i="3"/>
  <c r="T26" i="3" s="1"/>
  <c r="O28" i="3"/>
  <c r="S28" i="3" s="1"/>
  <c r="P27" i="3"/>
  <c r="T27" i="3" s="1"/>
  <c r="O27" i="3"/>
  <c r="S27" i="3" s="1"/>
  <c r="N27" i="3"/>
  <c r="R27" i="3" s="1"/>
  <c r="N26" i="3"/>
  <c r="R26" i="3" s="1"/>
  <c r="N28" i="3"/>
  <c r="R28" i="3" s="1"/>
  <c r="P24" i="3"/>
  <c r="T24" i="3" s="1"/>
  <c r="P22" i="3"/>
  <c r="T22" i="3" s="1"/>
  <c r="P23" i="3"/>
  <c r="T23" i="3" s="1"/>
  <c r="N24" i="3"/>
  <c r="R24" i="3" s="1"/>
  <c r="N23" i="3"/>
  <c r="R23" i="3" s="1"/>
  <c r="O24" i="3"/>
  <c r="S24" i="3" s="1"/>
  <c r="O23" i="3"/>
  <c r="S23" i="3" s="1"/>
  <c r="O22" i="3"/>
  <c r="S22" i="3" s="1"/>
  <c r="P20" i="3"/>
  <c r="T20" i="3" s="1"/>
  <c r="N20" i="3"/>
  <c r="R20" i="3" s="1"/>
  <c r="O18" i="3"/>
  <c r="S18" i="3" s="1"/>
  <c r="O20" i="3"/>
  <c r="S20" i="3" s="1"/>
  <c r="P19" i="3"/>
  <c r="T19" i="3" s="1"/>
  <c r="N19" i="3"/>
  <c r="R19" i="3" s="1"/>
  <c r="O19" i="3"/>
  <c r="S19" i="3" s="1"/>
  <c r="P18" i="3"/>
  <c r="T18" i="3" s="1"/>
  <c r="F3" i="3"/>
  <c r="J15" i="3"/>
  <c r="L16" i="3"/>
  <c r="K16" i="3"/>
  <c r="J16" i="3"/>
  <c r="I16" i="3"/>
  <c r="H16" i="3"/>
  <c r="G16" i="3"/>
  <c r="F16" i="3"/>
  <c r="E16" i="3"/>
  <c r="L15" i="3"/>
  <c r="K15" i="3"/>
  <c r="I15" i="3"/>
  <c r="G15" i="3"/>
  <c r="F15" i="3"/>
  <c r="L14" i="3"/>
  <c r="K14" i="3"/>
  <c r="J14" i="3"/>
  <c r="I14" i="3"/>
  <c r="H14" i="3"/>
  <c r="G14" i="3"/>
  <c r="F14" i="3"/>
  <c r="N14" i="3" a="1"/>
  <c r="N14" i="3" s="1"/>
  <c r="R14" i="3" s="1"/>
  <c r="V18" i="3" l="1"/>
  <c r="V34" i="3"/>
  <c r="V30" i="3"/>
  <c r="V38" i="3"/>
  <c r="V22" i="3"/>
  <c r="V26" i="3"/>
  <c r="N15" i="3"/>
  <c r="R15" i="3" s="1"/>
  <c r="P14" i="3"/>
  <c r="T14" i="3" s="1"/>
  <c r="P15" i="3"/>
  <c r="T15" i="3" s="1"/>
  <c r="O14" i="3"/>
  <c r="S14" i="3" s="1"/>
  <c r="O16" i="3"/>
  <c r="S16" i="3" s="1"/>
  <c r="N16" i="3"/>
  <c r="R16" i="3" s="1"/>
  <c r="P16" i="3"/>
  <c r="T16" i="3" s="1"/>
  <c r="O15" i="3"/>
  <c r="S15" i="3" s="1"/>
  <c r="V14" i="3" l="1"/>
  <c r="B59" i="2"/>
  <c r="C61" i="2"/>
  <c r="D61" i="2"/>
  <c r="B61" i="2"/>
  <c r="H35" i="2"/>
  <c r="H36" i="2"/>
  <c r="H37" i="2"/>
  <c r="H38" i="2"/>
  <c r="H39" i="2"/>
  <c r="H41" i="2"/>
  <c r="H42" i="2"/>
  <c r="H43" i="2"/>
  <c r="H44" i="2"/>
  <c r="H45" i="2"/>
  <c r="H47" i="2"/>
  <c r="H48" i="2"/>
  <c r="H49" i="2"/>
  <c r="H50" i="2"/>
  <c r="H51" i="2"/>
  <c r="H53" i="2"/>
  <c r="H54" i="2"/>
  <c r="H55" i="2"/>
  <c r="H56" i="2"/>
  <c r="H57" i="2"/>
  <c r="H59" i="2"/>
  <c r="H60" i="2"/>
  <c r="H61" i="2"/>
  <c r="H62" i="2"/>
  <c r="H63" i="2"/>
  <c r="H65" i="2"/>
  <c r="H66" i="2"/>
  <c r="H67" i="2"/>
  <c r="P59" i="2"/>
  <c r="Q59" i="2"/>
  <c r="O59" i="2"/>
  <c r="P48" i="2"/>
  <c r="Q48" i="2"/>
  <c r="O48" i="2"/>
  <c r="P43" i="2"/>
  <c r="Q43" i="2"/>
  <c r="O43" i="2"/>
  <c r="P37" i="2"/>
  <c r="Q37" i="2"/>
  <c r="O37" i="2"/>
  <c r="C60" i="2"/>
  <c r="D60" i="2"/>
  <c r="B60" i="2"/>
  <c r="P61" i="2"/>
  <c r="Q61" i="2"/>
  <c r="O61" i="2"/>
  <c r="P54" i="2"/>
  <c r="Q54" i="2"/>
  <c r="O54" i="2"/>
  <c r="P42" i="2"/>
  <c r="Q42" i="2"/>
  <c r="O42" i="2"/>
  <c r="P36" i="2"/>
  <c r="Q36" i="2"/>
  <c r="O36" i="2"/>
  <c r="C67" i="2"/>
  <c r="D67" i="2"/>
  <c r="B67" i="2"/>
  <c r="C53" i="2"/>
  <c r="D53" i="2"/>
  <c r="B53" i="2"/>
  <c r="P35" i="2"/>
  <c r="Q35" i="2"/>
  <c r="O35" i="2"/>
  <c r="B52" i="2"/>
  <c r="C52" i="2"/>
  <c r="D52" i="2"/>
  <c r="P52" i="2"/>
  <c r="Q52" i="2"/>
  <c r="O52" i="2"/>
  <c r="C65" i="2"/>
  <c r="D65" i="2"/>
  <c r="B65" i="2"/>
  <c r="C49" i="2"/>
  <c r="D49" i="2"/>
  <c r="B49" i="2"/>
  <c r="P41" i="2"/>
  <c r="Q41" i="2"/>
  <c r="O41" i="2"/>
  <c r="C66" i="2"/>
  <c r="D66" i="2"/>
  <c r="B66" i="2"/>
  <c r="C59" i="2"/>
  <c r="D59" i="2"/>
  <c r="C55" i="2"/>
  <c r="D55" i="2"/>
  <c r="B55" i="2"/>
  <c r="C48" i="2"/>
  <c r="D48" i="2"/>
  <c r="B48" i="2"/>
  <c r="C43" i="2"/>
  <c r="D43" i="2"/>
  <c r="B43" i="2"/>
  <c r="P60" i="2"/>
  <c r="Q60" i="2"/>
  <c r="O60" i="2"/>
  <c r="P53" i="2"/>
  <c r="Q53" i="2"/>
  <c r="O53" i="2"/>
  <c r="P49" i="2"/>
  <c r="Q49" i="2"/>
  <c r="O49" i="2"/>
  <c r="P40" i="2"/>
  <c r="Q40" i="2"/>
  <c r="O40" i="2"/>
  <c r="C47" i="2"/>
  <c r="D47" i="2"/>
  <c r="B47" i="2"/>
  <c r="C42" i="2"/>
  <c r="D42" i="2"/>
  <c r="B42" i="2"/>
  <c r="P58" i="2"/>
  <c r="Q58" i="2"/>
  <c r="O58" i="2"/>
  <c r="P55" i="2"/>
  <c r="Q55" i="2"/>
  <c r="O55" i="2"/>
  <c r="P47" i="2"/>
  <c r="Q47" i="2"/>
  <c r="O47" i="2"/>
  <c r="P34" i="2"/>
  <c r="Q34" i="2"/>
  <c r="O34" i="2"/>
  <c r="C64" i="2"/>
  <c r="D64" i="2"/>
  <c r="B64" i="2"/>
  <c r="C58" i="2"/>
  <c r="D58" i="2"/>
  <c r="B58" i="2"/>
  <c r="C54" i="2"/>
  <c r="D54" i="2"/>
  <c r="B54" i="2"/>
  <c r="C46" i="2"/>
  <c r="D46" i="2"/>
  <c r="B46" i="2"/>
  <c r="C41" i="2"/>
  <c r="D41" i="2"/>
  <c r="B41" i="2"/>
  <c r="B34" i="2"/>
  <c r="P46" i="2"/>
  <c r="Q46" i="2"/>
  <c r="O46" i="2"/>
  <c r="C40" i="2"/>
  <c r="D40" i="2"/>
  <c r="B40" i="2"/>
  <c r="C37" i="2"/>
  <c r="D37" i="2"/>
  <c r="B37" i="2"/>
  <c r="C36" i="2"/>
  <c r="D36" i="2"/>
  <c r="B36" i="2"/>
  <c r="C35" i="2"/>
  <c r="D35" i="2"/>
  <c r="B35" i="2"/>
  <c r="C34" i="2"/>
  <c r="D34" i="2"/>
  <c r="G34" i="2" l="1"/>
  <c r="T34" i="2"/>
  <c r="U34" i="2" s="1"/>
  <c r="G52" i="2"/>
  <c r="H52" i="2" s="1"/>
  <c r="G64" i="2"/>
  <c r="H64" i="2" s="1"/>
  <c r="G46" i="2"/>
  <c r="H46" i="2" s="1"/>
  <c r="T52" i="2"/>
  <c r="U52" i="2" s="1"/>
  <c r="T40" i="2"/>
  <c r="U40" i="2" s="1"/>
  <c r="T58" i="2"/>
  <c r="U58" i="2" s="1"/>
  <c r="G40" i="2"/>
  <c r="H40" i="2" s="1"/>
  <c r="T46" i="2"/>
  <c r="U46" i="2" s="1"/>
  <c r="G58" i="2"/>
  <c r="H58" i="2" s="1"/>
  <c r="I34" i="2" l="1"/>
  <c r="V34" i="2"/>
</calcChain>
</file>

<file path=xl/sharedStrings.xml><?xml version="1.0" encoding="utf-8"?>
<sst xmlns="http://schemas.openxmlformats.org/spreadsheetml/2006/main" count="78" uniqueCount="51">
  <si>
    <t>считаем объемы тетраэдра через разбиение на 6 и 5 частей</t>
  </si>
  <si>
    <t>находим объем через якобиан</t>
  </si>
  <si>
    <t>-</t>
  </si>
  <si>
    <t>проверяем функции формы и порядок обхода, левая или праввая система координат</t>
  </si>
  <si>
    <t>берем аккуратно производные и проверяем на моответствие с киселевым</t>
  </si>
  <si>
    <t>вбиваем формулу в эксель и пробуем посчитать объем</t>
  </si>
  <si>
    <t>план действий для гексы</t>
  </si>
  <si>
    <t>как посчитать объем искаженного тэтраэдра, который имеет координаты</t>
  </si>
  <si>
    <t>X</t>
  </si>
  <si>
    <t>Y</t>
  </si>
  <si>
    <t>Z</t>
  </si>
  <si>
    <t>разбиение на тэтрадры</t>
  </si>
  <si>
    <t>2 способа</t>
  </si>
  <si>
    <t>6 тэтраэдров</t>
  </si>
  <si>
    <t>5 тэтраэдров</t>
  </si>
  <si>
    <t xml:space="preserve"> </t>
  </si>
  <si>
    <t>якобиан</t>
  </si>
  <si>
    <t>ξ</t>
  </si>
  <si>
    <t>η</t>
  </si>
  <si>
    <t>ζ</t>
  </si>
  <si>
    <t>N1</t>
  </si>
  <si>
    <t>N2</t>
  </si>
  <si>
    <t>N3</t>
  </si>
  <si>
    <t>N4</t>
  </si>
  <si>
    <t>N5</t>
  </si>
  <si>
    <t>N6</t>
  </si>
  <si>
    <t>N7</t>
  </si>
  <si>
    <t>N8</t>
  </si>
  <si>
    <t>x</t>
  </si>
  <si>
    <t>y</t>
  </si>
  <si>
    <t>z</t>
  </si>
  <si>
    <t>коэф</t>
  </si>
  <si>
    <t>точки интегрирования</t>
  </si>
  <si>
    <t>тэтраэдр</t>
  </si>
  <si>
    <t>с одной точкой интегрирования формула численного интегрирования приобретает следующий вид</t>
  </si>
  <si>
    <t>det[J]</t>
  </si>
  <si>
    <t>что делали: рассмотрели производные функци форм черех L-координаты для 3-мерного случая. Коодинаты взяли  как у первого тэтраэдра с вершинами 5-6-7-3.</t>
  </si>
  <si>
    <t>стр 276-277</t>
  </si>
  <si>
    <t>1-2-3-5-6-7</t>
  </si>
  <si>
    <t>узлы с гексы</t>
  </si>
  <si>
    <t>нас не интересуют точки интегрирования,потому что якобиан - число. Т.е. у нас одна точка с весовым коэффициентом = 1 (стр 286)</t>
  </si>
  <si>
    <t>Киселев, стр 110</t>
  </si>
  <si>
    <t>V пенты для сравнения</t>
  </si>
  <si>
    <t>добавили вес 0,5</t>
  </si>
  <si>
    <t>процента</t>
  </si>
  <si>
    <t>попробовать увеличить размеры призмы</t>
  </si>
  <si>
    <t>1 точка интегрирования</t>
  </si>
  <si>
    <t>https://www.semestr.online/web/pyramid.php</t>
  </si>
  <si>
    <t>где можно построить многоугольник по точкам</t>
  </si>
  <si>
    <t>посчитать например величину для гексы, двух пент или 6 тэтраэдров с матрицами жесткости</t>
  </si>
  <si>
    <t xml:space="preserve">рассматриваем кубик например с передачей температуры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</si>
</sst>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16" fontId="0" fillId="0" borderId="0" xfId="0" applyNumberFormat="1"/>
    <xf numFmtId="0" fontId="0" fillId="2" borderId="0" xfId="0" applyFill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0" xfId="0" applyFill="1"/>
    <xf numFmtId="164" fontId="0" fillId="0" borderId="0" xfId="0" applyNumberFormat="1"/>
    <xf numFmtId="164" fontId="1" fillId="0" borderId="0" xfId="0" applyNumberFormat="1" applyFont="1"/>
    <xf numFmtId="0" fontId="0" fillId="0" borderId="0" xfId="0" applyNumberFormat="1"/>
    <xf numFmtId="0" fontId="0" fillId="4" borderId="0" xfId="0" applyFill="1"/>
    <xf numFmtId="0" fontId="2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t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12</xdr:col>
      <xdr:colOff>312420</xdr:colOff>
      <xdr:row>15</xdr:row>
      <xdr:rowOff>106680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182880"/>
          <a:ext cx="2750820" cy="2667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8</xdr:col>
      <xdr:colOff>53340</xdr:colOff>
      <xdr:row>29</xdr:row>
      <xdr:rowOff>106680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08960"/>
          <a:ext cx="4930140" cy="23012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13</xdr:col>
      <xdr:colOff>28575</xdr:colOff>
      <xdr:row>27</xdr:row>
      <xdr:rowOff>19050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3108960"/>
          <a:ext cx="2466975" cy="1847850"/>
        </a:xfrm>
        <a:prstGeom prst="rect">
          <a:avLst/>
        </a:prstGeom>
      </xdr:spPr>
    </xdr:pic>
    <xdr:clientData/>
  </xdr:twoCellAnchor>
  <xdr:twoCellAnchor editAs="oneCell">
    <xdr:from>
      <xdr:col>14</xdr:col>
      <xdr:colOff>7620</xdr:colOff>
      <xdr:row>17</xdr:row>
      <xdr:rowOff>22860</xdr:rowOff>
    </xdr:from>
    <xdr:to>
      <xdr:col>17</xdr:col>
      <xdr:colOff>190500</xdr:colOff>
      <xdr:row>27</xdr:row>
      <xdr:rowOff>144442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2020" y="3131820"/>
          <a:ext cx="2011680" cy="195038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21</xdr:col>
      <xdr:colOff>205740</xdr:colOff>
      <xdr:row>23</xdr:row>
      <xdr:rowOff>68580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2800" y="3108960"/>
          <a:ext cx="2034540" cy="11658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594361</xdr:colOff>
      <xdr:row>2</xdr:row>
      <xdr:rowOff>60960</xdr:rowOff>
    </xdr:from>
    <xdr:to>
      <xdr:col>12</xdr:col>
      <xdr:colOff>114301</xdr:colOff>
      <xdr:row>18</xdr:row>
      <xdr:rowOff>55753</xdr:rowOff>
    </xdr:to>
    <xdr:pic>
      <xdr:nvPicPr>
        <xdr:cNvPr id="2" name="Рисунок 1" descr="Вырезка экрана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1961" y="426720"/>
          <a:ext cx="3177540" cy="29208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9</xdr:row>
      <xdr:rowOff>0</xdr:rowOff>
    </xdr:from>
    <xdr:to>
      <xdr:col>8</xdr:col>
      <xdr:colOff>361657</xdr:colOff>
      <xdr:row>32</xdr:row>
      <xdr:rowOff>83820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1" y="1645920"/>
          <a:ext cx="4628856" cy="4290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emestr.online/web/pyramid.php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11" sqref="A11"/>
    </sheetView>
  </sheetViews>
  <sheetFormatPr defaultRowHeight="14.4" x14ac:dyDescent="0.3"/>
  <sheetData>
    <row r="1" spans="1:3" x14ac:dyDescent="0.3">
      <c r="A1" t="s">
        <v>6</v>
      </c>
    </row>
    <row r="3" spans="1:3" x14ac:dyDescent="0.3">
      <c r="A3">
        <v>1</v>
      </c>
      <c r="B3" t="s">
        <v>0</v>
      </c>
    </row>
    <row r="4" spans="1:3" x14ac:dyDescent="0.3">
      <c r="A4">
        <v>2</v>
      </c>
      <c r="B4" t="s">
        <v>1</v>
      </c>
    </row>
    <row r="5" spans="1:3" x14ac:dyDescent="0.3">
      <c r="B5" s="1" t="s">
        <v>2</v>
      </c>
      <c r="C5" t="s">
        <v>3</v>
      </c>
    </row>
    <row r="6" spans="1:3" x14ac:dyDescent="0.3">
      <c r="B6" t="s">
        <v>2</v>
      </c>
      <c r="C6" t="s">
        <v>4</v>
      </c>
    </row>
    <row r="7" spans="1:3" x14ac:dyDescent="0.3">
      <c r="B7" t="s">
        <v>2</v>
      </c>
      <c r="C7" t="s">
        <v>5</v>
      </c>
    </row>
    <row r="10" spans="1:3" x14ac:dyDescent="0.3">
      <c r="A10" t="s">
        <v>47</v>
      </c>
    </row>
    <row r="11" spans="1:3" x14ac:dyDescent="0.3">
      <c r="A1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A7" sqref="A7"/>
    </sheetView>
  </sheetViews>
  <sheetFormatPr defaultRowHeight="14.4" x14ac:dyDescent="0.3"/>
  <sheetData>
    <row r="3" spans="1:4" x14ac:dyDescent="0.3">
      <c r="A3" t="s">
        <v>49</v>
      </c>
    </row>
    <row r="5" spans="1:4" x14ac:dyDescent="0.3">
      <c r="A5" t="s">
        <v>50</v>
      </c>
    </row>
    <row r="7" spans="1:4" x14ac:dyDescent="0.3">
      <c r="A7" t="s">
        <v>15</v>
      </c>
    </row>
    <row r="8" spans="1:4" x14ac:dyDescent="0.3">
      <c r="D8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7"/>
  <sheetViews>
    <sheetView tabSelected="1" topLeftCell="A58" workbookViewId="0">
      <selection activeCell="V34" sqref="V34"/>
    </sheetView>
  </sheetViews>
  <sheetFormatPr defaultRowHeight="14.4" x14ac:dyDescent="0.3"/>
  <sheetData>
    <row r="1" spans="1:5" x14ac:dyDescent="0.3">
      <c r="A1" t="s">
        <v>7</v>
      </c>
    </row>
    <row r="3" spans="1:5" x14ac:dyDescent="0.3">
      <c r="B3" t="s">
        <v>8</v>
      </c>
      <c r="C3" t="s">
        <v>9</v>
      </c>
      <c r="D3" t="s">
        <v>10</v>
      </c>
    </row>
    <row r="4" spans="1:5" x14ac:dyDescent="0.3">
      <c r="A4">
        <v>1</v>
      </c>
      <c r="B4">
        <v>0</v>
      </c>
      <c r="C4">
        <v>0</v>
      </c>
      <c r="D4">
        <v>0</v>
      </c>
    </row>
    <row r="5" spans="1:5" x14ac:dyDescent="0.3">
      <c r="A5">
        <v>2</v>
      </c>
      <c r="B5" s="13">
        <v>1</v>
      </c>
      <c r="C5">
        <v>0</v>
      </c>
      <c r="D5">
        <v>0</v>
      </c>
    </row>
    <row r="6" spans="1:5" x14ac:dyDescent="0.3">
      <c r="A6">
        <v>3</v>
      </c>
      <c r="B6">
        <v>1</v>
      </c>
      <c r="C6">
        <v>1</v>
      </c>
      <c r="D6">
        <v>0</v>
      </c>
    </row>
    <row r="7" spans="1:5" x14ac:dyDescent="0.3">
      <c r="A7">
        <v>4</v>
      </c>
      <c r="B7" s="13">
        <v>0</v>
      </c>
      <c r="C7" s="13">
        <v>1</v>
      </c>
      <c r="D7" s="13">
        <v>0</v>
      </c>
      <c r="E7" s="13"/>
    </row>
    <row r="8" spans="1:5" x14ac:dyDescent="0.3">
      <c r="A8">
        <v>5</v>
      </c>
      <c r="B8" s="13">
        <v>0</v>
      </c>
      <c r="C8" s="13">
        <v>0</v>
      </c>
      <c r="D8" s="13">
        <v>1</v>
      </c>
      <c r="E8" s="13"/>
    </row>
    <row r="9" spans="1:5" x14ac:dyDescent="0.3">
      <c r="A9">
        <v>6</v>
      </c>
      <c r="B9" s="2">
        <v>1.2</v>
      </c>
      <c r="C9" s="13">
        <v>0</v>
      </c>
      <c r="D9" s="13">
        <v>1</v>
      </c>
      <c r="E9" s="13"/>
    </row>
    <row r="10" spans="1:5" x14ac:dyDescent="0.3">
      <c r="A10">
        <v>7</v>
      </c>
      <c r="B10" s="13">
        <v>1</v>
      </c>
      <c r="C10" s="13">
        <v>1</v>
      </c>
      <c r="D10" s="2">
        <v>0.7</v>
      </c>
      <c r="E10" s="13"/>
    </row>
    <row r="11" spans="1:5" x14ac:dyDescent="0.3">
      <c r="A11">
        <v>8</v>
      </c>
      <c r="B11" s="13">
        <v>0</v>
      </c>
      <c r="C11" s="2">
        <v>1.5</v>
      </c>
      <c r="D11" s="13">
        <v>1</v>
      </c>
      <c r="E11" s="13"/>
    </row>
    <row r="12" spans="1:5" x14ac:dyDescent="0.3">
      <c r="B12" s="13"/>
      <c r="C12" s="13"/>
      <c r="D12" s="13"/>
      <c r="E12" s="13"/>
    </row>
    <row r="13" spans="1:5" x14ac:dyDescent="0.3">
      <c r="B13" s="13"/>
      <c r="C13" s="13"/>
      <c r="D13" s="13"/>
      <c r="E13" s="13"/>
    </row>
    <row r="14" spans="1:5" x14ac:dyDescent="0.3">
      <c r="A14" t="s">
        <v>11</v>
      </c>
    </row>
    <row r="16" spans="1:5" x14ac:dyDescent="0.3">
      <c r="A16" t="s">
        <v>12</v>
      </c>
    </row>
    <row r="32" spans="1:14" x14ac:dyDescent="0.3">
      <c r="A32" t="s">
        <v>13</v>
      </c>
      <c r="N32" s="2" t="s">
        <v>14</v>
      </c>
    </row>
    <row r="34" spans="1:22" x14ac:dyDescent="0.3">
      <c r="A34">
        <v>5</v>
      </c>
      <c r="B34">
        <f t="shared" ref="B34:D36" si="0">B8</f>
        <v>0</v>
      </c>
      <c r="C34">
        <f t="shared" si="0"/>
        <v>0</v>
      </c>
      <c r="D34">
        <f t="shared" si="0"/>
        <v>1</v>
      </c>
      <c r="E34">
        <v>1</v>
      </c>
      <c r="G34">
        <f>MDETERM(B34:E37)</f>
        <v>0.84</v>
      </c>
      <c r="H34">
        <f>ABS(G34/6)</f>
        <v>0.13999999999999999</v>
      </c>
      <c r="I34">
        <f>SUM(H34:H67)</f>
        <v>1.0983333333333332</v>
      </c>
      <c r="N34">
        <v>5</v>
      </c>
      <c r="O34">
        <f>B8</f>
        <v>0</v>
      </c>
      <c r="P34">
        <f>C8</f>
        <v>0</v>
      </c>
      <c r="Q34">
        <f>D8</f>
        <v>1</v>
      </c>
      <c r="R34">
        <v>1</v>
      </c>
      <c r="T34">
        <f>MDETERM(O34:R37)</f>
        <v>1.5</v>
      </c>
      <c r="U34">
        <f>ABS(T34/6)</f>
        <v>0.25</v>
      </c>
      <c r="V34" s="2">
        <f>SUM(U34:U61)</f>
        <v>1.0166666666666666</v>
      </c>
    </row>
    <row r="35" spans="1:22" x14ac:dyDescent="0.3">
      <c r="A35">
        <v>6</v>
      </c>
      <c r="B35">
        <f t="shared" si="0"/>
        <v>1.2</v>
      </c>
      <c r="C35">
        <f t="shared" si="0"/>
        <v>0</v>
      </c>
      <c r="D35">
        <f t="shared" si="0"/>
        <v>1</v>
      </c>
      <c r="E35">
        <v>1</v>
      </c>
      <c r="H35">
        <f t="shared" ref="H35:H67" si="1">ABS(G35/6)</f>
        <v>0</v>
      </c>
      <c r="N35">
        <v>8</v>
      </c>
      <c r="O35">
        <f>B11</f>
        <v>0</v>
      </c>
      <c r="P35">
        <f>C11</f>
        <v>1.5</v>
      </c>
      <c r="Q35">
        <f>D11</f>
        <v>1</v>
      </c>
      <c r="R35">
        <v>1</v>
      </c>
    </row>
    <row r="36" spans="1:22" x14ac:dyDescent="0.3">
      <c r="A36">
        <v>7</v>
      </c>
      <c r="B36">
        <f t="shared" si="0"/>
        <v>1</v>
      </c>
      <c r="C36">
        <f t="shared" si="0"/>
        <v>1</v>
      </c>
      <c r="D36">
        <f t="shared" si="0"/>
        <v>0.7</v>
      </c>
      <c r="E36">
        <v>1</v>
      </c>
      <c r="H36">
        <f t="shared" si="1"/>
        <v>0</v>
      </c>
      <c r="N36">
        <v>4</v>
      </c>
      <c r="O36">
        <f>B7</f>
        <v>0</v>
      </c>
      <c r="P36">
        <f>C7</f>
        <v>1</v>
      </c>
      <c r="Q36">
        <f>D7</f>
        <v>0</v>
      </c>
      <c r="R36">
        <v>1</v>
      </c>
    </row>
    <row r="37" spans="1:22" x14ac:dyDescent="0.3">
      <c r="A37">
        <v>3</v>
      </c>
      <c r="B37">
        <f>B6</f>
        <v>1</v>
      </c>
      <c r="C37">
        <f>C6</f>
        <v>1</v>
      </c>
      <c r="D37">
        <f>D6</f>
        <v>0</v>
      </c>
      <c r="E37">
        <v>1</v>
      </c>
      <c r="H37">
        <f t="shared" si="1"/>
        <v>0</v>
      </c>
      <c r="N37">
        <v>7</v>
      </c>
      <c r="O37">
        <f>B10</f>
        <v>1</v>
      </c>
      <c r="P37">
        <f>C10</f>
        <v>1</v>
      </c>
      <c r="Q37">
        <f>D10</f>
        <v>0.7</v>
      </c>
      <c r="R37">
        <v>1</v>
      </c>
    </row>
    <row r="38" spans="1:22" x14ac:dyDescent="0.3">
      <c r="H38">
        <f t="shared" si="1"/>
        <v>0</v>
      </c>
    </row>
    <row r="39" spans="1:22" x14ac:dyDescent="0.3">
      <c r="H39">
        <f t="shared" si="1"/>
        <v>0</v>
      </c>
    </row>
    <row r="40" spans="1:22" x14ac:dyDescent="0.3">
      <c r="A40">
        <v>6</v>
      </c>
      <c r="B40" s="13">
        <f>B9</f>
        <v>1.2</v>
      </c>
      <c r="C40" s="13">
        <f>C9</f>
        <v>0</v>
      </c>
      <c r="D40" s="13">
        <f>D9</f>
        <v>1</v>
      </c>
      <c r="E40" s="13">
        <v>1</v>
      </c>
      <c r="F40" s="13"/>
      <c r="G40">
        <f>MDETERM(B40:E43)</f>
        <v>1.2</v>
      </c>
      <c r="H40">
        <f t="shared" si="1"/>
        <v>0.19999999999999998</v>
      </c>
      <c r="N40">
        <v>2</v>
      </c>
      <c r="O40">
        <f t="shared" ref="O40:Q42" si="2">B5</f>
        <v>1</v>
      </c>
      <c r="P40">
        <f t="shared" si="2"/>
        <v>0</v>
      </c>
      <c r="Q40">
        <f t="shared" si="2"/>
        <v>0</v>
      </c>
      <c r="R40">
        <v>1</v>
      </c>
      <c r="T40">
        <f>MDETERM(O40:R43)</f>
        <v>-0.7</v>
      </c>
      <c r="U40">
        <f>ABS(T40/6)</f>
        <v>0.11666666666666665</v>
      </c>
    </row>
    <row r="41" spans="1:22" x14ac:dyDescent="0.3">
      <c r="A41">
        <v>5</v>
      </c>
      <c r="B41" s="13">
        <f>B8</f>
        <v>0</v>
      </c>
      <c r="C41" s="13">
        <f>C8</f>
        <v>0</v>
      </c>
      <c r="D41" s="13">
        <f>D8</f>
        <v>1</v>
      </c>
      <c r="E41" s="13">
        <v>1</v>
      </c>
      <c r="F41" s="13"/>
      <c r="H41">
        <f t="shared" si="1"/>
        <v>0</v>
      </c>
      <c r="N41">
        <v>3</v>
      </c>
      <c r="O41">
        <f t="shared" si="2"/>
        <v>1</v>
      </c>
      <c r="P41">
        <f t="shared" si="2"/>
        <v>1</v>
      </c>
      <c r="Q41">
        <f t="shared" si="2"/>
        <v>0</v>
      </c>
      <c r="R41">
        <v>1</v>
      </c>
    </row>
    <row r="42" spans="1:22" x14ac:dyDescent="0.3">
      <c r="A42">
        <v>2</v>
      </c>
      <c r="B42" s="13">
        <f t="shared" ref="B42:D43" si="3">B5</f>
        <v>1</v>
      </c>
      <c r="C42" s="13">
        <f t="shared" si="3"/>
        <v>0</v>
      </c>
      <c r="D42" s="13">
        <f t="shared" si="3"/>
        <v>0</v>
      </c>
      <c r="E42" s="13">
        <v>1</v>
      </c>
      <c r="F42" s="13"/>
      <c r="H42">
        <f t="shared" si="1"/>
        <v>0</v>
      </c>
      <c r="L42" t="s">
        <v>15</v>
      </c>
      <c r="N42">
        <v>4</v>
      </c>
      <c r="O42">
        <f t="shared" si="2"/>
        <v>0</v>
      </c>
      <c r="P42">
        <f t="shared" si="2"/>
        <v>1</v>
      </c>
      <c r="Q42">
        <f t="shared" si="2"/>
        <v>0</v>
      </c>
      <c r="R42">
        <v>1</v>
      </c>
    </row>
    <row r="43" spans="1:22" x14ac:dyDescent="0.3">
      <c r="A43">
        <v>3</v>
      </c>
      <c r="B43" s="13">
        <f t="shared" si="3"/>
        <v>1</v>
      </c>
      <c r="C43" s="13">
        <f t="shared" si="3"/>
        <v>1</v>
      </c>
      <c r="D43" s="13">
        <f t="shared" si="3"/>
        <v>0</v>
      </c>
      <c r="E43" s="13">
        <v>1</v>
      </c>
      <c r="F43" s="13"/>
      <c r="H43">
        <f t="shared" si="1"/>
        <v>0</v>
      </c>
      <c r="N43">
        <v>7</v>
      </c>
      <c r="O43">
        <f>B10</f>
        <v>1</v>
      </c>
      <c r="P43">
        <f>C10</f>
        <v>1</v>
      </c>
      <c r="Q43">
        <f>D10</f>
        <v>0.7</v>
      </c>
      <c r="R43">
        <v>1</v>
      </c>
    </row>
    <row r="44" spans="1:22" x14ac:dyDescent="0.3">
      <c r="G44" s="13"/>
      <c r="H44" s="13">
        <f t="shared" si="1"/>
        <v>0</v>
      </c>
      <c r="I44" s="13"/>
    </row>
    <row r="45" spans="1:22" x14ac:dyDescent="0.3">
      <c r="G45" s="13"/>
      <c r="H45" s="13">
        <f t="shared" si="1"/>
        <v>0</v>
      </c>
      <c r="I45" s="13"/>
    </row>
    <row r="46" spans="1:22" x14ac:dyDescent="0.3">
      <c r="A46">
        <v>5</v>
      </c>
      <c r="B46">
        <f>B8</f>
        <v>0</v>
      </c>
      <c r="C46">
        <f>C8</f>
        <v>0</v>
      </c>
      <c r="D46">
        <f>D8</f>
        <v>1</v>
      </c>
      <c r="E46">
        <v>1</v>
      </c>
      <c r="G46" s="13">
        <f>MDETERM(B46:E49)</f>
        <v>1</v>
      </c>
      <c r="H46" s="13">
        <f t="shared" si="1"/>
        <v>0.16666666666666666</v>
      </c>
      <c r="I46" s="13"/>
      <c r="N46">
        <v>6</v>
      </c>
      <c r="O46">
        <f>B9</f>
        <v>1.2</v>
      </c>
      <c r="P46">
        <f>C9</f>
        <v>0</v>
      </c>
      <c r="Q46">
        <f>D9</f>
        <v>1</v>
      </c>
      <c r="R46">
        <v>1</v>
      </c>
      <c r="T46">
        <f>MDETERM(O46:R49)</f>
        <v>-1.2</v>
      </c>
      <c r="U46">
        <f>ABS(T46/6)</f>
        <v>0.19999999999999998</v>
      </c>
    </row>
    <row r="47" spans="1:22" x14ac:dyDescent="0.3">
      <c r="A47">
        <v>2</v>
      </c>
      <c r="B47">
        <f t="shared" ref="B47:D48" si="4">B5</f>
        <v>1</v>
      </c>
      <c r="C47">
        <f t="shared" si="4"/>
        <v>0</v>
      </c>
      <c r="D47">
        <f t="shared" si="4"/>
        <v>0</v>
      </c>
      <c r="E47">
        <v>1</v>
      </c>
      <c r="G47" s="13"/>
      <c r="H47" s="13">
        <f t="shared" si="1"/>
        <v>0</v>
      </c>
      <c r="I47" s="13"/>
      <c r="N47">
        <v>5</v>
      </c>
      <c r="O47">
        <f>B8</f>
        <v>0</v>
      </c>
      <c r="P47">
        <f>C8</f>
        <v>0</v>
      </c>
      <c r="Q47">
        <f>D8</f>
        <v>1</v>
      </c>
      <c r="R47">
        <v>1</v>
      </c>
    </row>
    <row r="48" spans="1:22" x14ac:dyDescent="0.3">
      <c r="A48">
        <v>3</v>
      </c>
      <c r="B48">
        <f t="shared" si="4"/>
        <v>1</v>
      </c>
      <c r="C48">
        <f t="shared" si="4"/>
        <v>1</v>
      </c>
      <c r="D48">
        <f t="shared" si="4"/>
        <v>0</v>
      </c>
      <c r="E48">
        <v>1</v>
      </c>
      <c r="G48" s="13"/>
      <c r="H48" s="13">
        <f t="shared" si="1"/>
        <v>0</v>
      </c>
      <c r="I48" s="13"/>
      <c r="J48" t="s">
        <v>42</v>
      </c>
      <c r="N48">
        <v>7</v>
      </c>
      <c r="O48">
        <f>B10</f>
        <v>1</v>
      </c>
      <c r="P48">
        <f>C10</f>
        <v>1</v>
      </c>
      <c r="Q48">
        <f>D10</f>
        <v>0.7</v>
      </c>
      <c r="R48">
        <v>1</v>
      </c>
      <c r="U48" s="13"/>
      <c r="V48" s="13"/>
    </row>
    <row r="49" spans="1:22" x14ac:dyDescent="0.3">
      <c r="A49">
        <v>1</v>
      </c>
      <c r="B49">
        <f>B4</f>
        <v>0</v>
      </c>
      <c r="C49">
        <f>C4</f>
        <v>0</v>
      </c>
      <c r="D49">
        <f>D4</f>
        <v>0</v>
      </c>
      <c r="E49">
        <v>1</v>
      </c>
      <c r="G49" s="13"/>
      <c r="H49" s="13">
        <f t="shared" si="1"/>
        <v>0</v>
      </c>
      <c r="I49" s="13"/>
      <c r="J49" s="17">
        <f>SUM(H34:H49)</f>
        <v>0.5066666666666666</v>
      </c>
      <c r="N49">
        <v>2</v>
      </c>
      <c r="O49">
        <f>B5</f>
        <v>1</v>
      </c>
      <c r="P49">
        <f>C5</f>
        <v>0</v>
      </c>
      <c r="Q49">
        <f>D5</f>
        <v>0</v>
      </c>
      <c r="R49">
        <v>1</v>
      </c>
      <c r="U49" s="13"/>
      <c r="V49" s="13"/>
    </row>
    <row r="50" spans="1:22" x14ac:dyDescent="0.3">
      <c r="G50" s="13"/>
      <c r="H50" s="13">
        <f t="shared" si="1"/>
        <v>0</v>
      </c>
      <c r="I50" s="13"/>
      <c r="U50" s="13"/>
      <c r="V50" s="13"/>
    </row>
    <row r="51" spans="1:22" x14ac:dyDescent="0.3">
      <c r="G51" s="13"/>
      <c r="H51" s="13">
        <f t="shared" si="1"/>
        <v>0</v>
      </c>
      <c r="I51" s="13"/>
      <c r="U51" s="13"/>
      <c r="V51" s="13"/>
    </row>
    <row r="52" spans="1:22" x14ac:dyDescent="0.3">
      <c r="A52">
        <v>8</v>
      </c>
      <c r="B52">
        <f>B11</f>
        <v>0</v>
      </c>
      <c r="C52">
        <f>C11</f>
        <v>1.5</v>
      </c>
      <c r="D52">
        <f>D11</f>
        <v>1</v>
      </c>
      <c r="E52">
        <v>1</v>
      </c>
      <c r="G52">
        <f>MDETERM(B52:E55)</f>
        <v>1.5</v>
      </c>
      <c r="H52">
        <f t="shared" si="1"/>
        <v>0.25</v>
      </c>
      <c r="N52">
        <v>1</v>
      </c>
      <c r="O52">
        <f t="shared" ref="O52:Q53" si="5">B4</f>
        <v>0</v>
      </c>
      <c r="P52">
        <f t="shared" si="5"/>
        <v>0</v>
      </c>
      <c r="Q52">
        <f t="shared" si="5"/>
        <v>0</v>
      </c>
      <c r="R52">
        <v>1</v>
      </c>
      <c r="T52">
        <f>MDETERM(O52:R55)</f>
        <v>-1</v>
      </c>
      <c r="U52" s="13">
        <f>ABS(T52/6)</f>
        <v>0.16666666666666666</v>
      </c>
      <c r="V52" s="13"/>
    </row>
    <row r="53" spans="1:22" x14ac:dyDescent="0.3">
      <c r="A53">
        <v>4</v>
      </c>
      <c r="B53">
        <f t="shared" ref="B53:D54" si="6">B7</f>
        <v>0</v>
      </c>
      <c r="C53">
        <f t="shared" si="6"/>
        <v>1</v>
      </c>
      <c r="D53">
        <f t="shared" si="6"/>
        <v>0</v>
      </c>
      <c r="E53">
        <v>1</v>
      </c>
      <c r="H53">
        <f t="shared" si="1"/>
        <v>0</v>
      </c>
      <c r="N53">
        <v>2</v>
      </c>
      <c r="O53">
        <f t="shared" si="5"/>
        <v>1</v>
      </c>
      <c r="P53">
        <f t="shared" si="5"/>
        <v>0</v>
      </c>
      <c r="Q53">
        <f t="shared" si="5"/>
        <v>0</v>
      </c>
      <c r="R53">
        <v>1</v>
      </c>
      <c r="S53" s="18" t="s">
        <v>47</v>
      </c>
      <c r="U53" s="13"/>
      <c r="V53" s="13"/>
    </row>
    <row r="54" spans="1:22" x14ac:dyDescent="0.3">
      <c r="A54">
        <v>5</v>
      </c>
      <c r="B54">
        <f t="shared" si="6"/>
        <v>0</v>
      </c>
      <c r="C54">
        <f t="shared" si="6"/>
        <v>0</v>
      </c>
      <c r="D54">
        <f t="shared" si="6"/>
        <v>1</v>
      </c>
      <c r="E54">
        <v>1</v>
      </c>
      <c r="H54">
        <f t="shared" si="1"/>
        <v>0</v>
      </c>
      <c r="N54">
        <v>4</v>
      </c>
      <c r="O54">
        <f t="shared" ref="O54:Q55" si="7">B7</f>
        <v>0</v>
      </c>
      <c r="P54">
        <f t="shared" si="7"/>
        <v>1</v>
      </c>
      <c r="Q54">
        <f t="shared" si="7"/>
        <v>0</v>
      </c>
      <c r="R54">
        <v>1</v>
      </c>
      <c r="U54" s="13"/>
      <c r="V54" s="13"/>
    </row>
    <row r="55" spans="1:22" x14ac:dyDescent="0.3">
      <c r="A55">
        <v>3</v>
      </c>
      <c r="B55">
        <f>B6</f>
        <v>1</v>
      </c>
      <c r="C55">
        <f>C6</f>
        <v>1</v>
      </c>
      <c r="D55">
        <f>D6</f>
        <v>0</v>
      </c>
      <c r="E55">
        <v>1</v>
      </c>
      <c r="H55">
        <f t="shared" si="1"/>
        <v>0</v>
      </c>
      <c r="N55">
        <v>5</v>
      </c>
      <c r="O55">
        <f t="shared" si="7"/>
        <v>0</v>
      </c>
      <c r="P55">
        <f t="shared" si="7"/>
        <v>0</v>
      </c>
      <c r="Q55">
        <f t="shared" si="7"/>
        <v>1</v>
      </c>
      <c r="R55">
        <v>1</v>
      </c>
      <c r="U55" s="13"/>
      <c r="V55" s="13"/>
    </row>
    <row r="56" spans="1:22" x14ac:dyDescent="0.3">
      <c r="H56">
        <f t="shared" si="1"/>
        <v>0</v>
      </c>
      <c r="U56" s="13"/>
      <c r="V56" s="13"/>
    </row>
    <row r="57" spans="1:22" x14ac:dyDescent="0.3">
      <c r="H57">
        <f t="shared" si="1"/>
        <v>0</v>
      </c>
      <c r="U57" s="13"/>
      <c r="V57" s="13"/>
    </row>
    <row r="58" spans="1:22" x14ac:dyDescent="0.3">
      <c r="A58">
        <v>5</v>
      </c>
      <c r="B58">
        <f>B8</f>
        <v>0</v>
      </c>
      <c r="C58">
        <f>C8</f>
        <v>0</v>
      </c>
      <c r="D58">
        <f>D8</f>
        <v>1</v>
      </c>
      <c r="E58">
        <v>1</v>
      </c>
      <c r="G58">
        <f>MDETERM(B58:E61)</f>
        <v>1.0499999999999998</v>
      </c>
      <c r="H58">
        <f t="shared" si="1"/>
        <v>0.17499999999999996</v>
      </c>
      <c r="N58">
        <v>5</v>
      </c>
      <c r="O58">
        <f>B8</f>
        <v>0</v>
      </c>
      <c r="P58">
        <f>C8</f>
        <v>0</v>
      </c>
      <c r="Q58">
        <f>D8</f>
        <v>1</v>
      </c>
      <c r="R58">
        <v>1</v>
      </c>
      <c r="T58">
        <f>MDETERM(O58:R61)</f>
        <v>-1.7</v>
      </c>
      <c r="U58" s="13">
        <f>ABS(T58/6)</f>
        <v>0.28333333333333333</v>
      </c>
      <c r="V58" s="13"/>
    </row>
    <row r="59" spans="1:22" x14ac:dyDescent="0.3">
      <c r="A59">
        <v>3</v>
      </c>
      <c r="B59">
        <f>B6</f>
        <v>1</v>
      </c>
      <c r="C59">
        <f>C6</f>
        <v>1</v>
      </c>
      <c r="D59">
        <f>D6</f>
        <v>0</v>
      </c>
      <c r="E59">
        <v>1</v>
      </c>
      <c r="H59">
        <f t="shared" si="1"/>
        <v>0</v>
      </c>
      <c r="N59">
        <v>7</v>
      </c>
      <c r="O59">
        <f>B10</f>
        <v>1</v>
      </c>
      <c r="P59">
        <f>C10</f>
        <v>1</v>
      </c>
      <c r="Q59">
        <f>D10</f>
        <v>0.7</v>
      </c>
      <c r="R59">
        <v>1</v>
      </c>
      <c r="U59" s="13"/>
      <c r="V59" s="13"/>
    </row>
    <row r="60" spans="1:22" x14ac:dyDescent="0.3">
      <c r="A60">
        <v>7</v>
      </c>
      <c r="B60">
        <f t="shared" ref="B60:D61" si="8">B10</f>
        <v>1</v>
      </c>
      <c r="C60">
        <f t="shared" si="8"/>
        <v>1</v>
      </c>
      <c r="D60">
        <f t="shared" si="8"/>
        <v>0.7</v>
      </c>
      <c r="E60">
        <v>1</v>
      </c>
      <c r="H60">
        <f t="shared" si="1"/>
        <v>0</v>
      </c>
      <c r="N60">
        <v>2</v>
      </c>
      <c r="O60">
        <f>B5</f>
        <v>1</v>
      </c>
      <c r="P60">
        <f>C5</f>
        <v>0</v>
      </c>
      <c r="Q60">
        <f>D5</f>
        <v>0</v>
      </c>
      <c r="R60">
        <v>1</v>
      </c>
      <c r="U60" s="13"/>
      <c r="V60" s="13"/>
    </row>
    <row r="61" spans="1:22" x14ac:dyDescent="0.3">
      <c r="A61">
        <v>8</v>
      </c>
      <c r="B61">
        <f t="shared" si="8"/>
        <v>0</v>
      </c>
      <c r="C61">
        <f t="shared" si="8"/>
        <v>1.5</v>
      </c>
      <c r="D61">
        <f t="shared" si="8"/>
        <v>1</v>
      </c>
      <c r="E61">
        <v>1</v>
      </c>
      <c r="H61">
        <f t="shared" si="1"/>
        <v>0</v>
      </c>
      <c r="N61">
        <v>4</v>
      </c>
      <c r="O61">
        <f>B7</f>
        <v>0</v>
      </c>
      <c r="P61">
        <f>C7</f>
        <v>1</v>
      </c>
      <c r="Q61">
        <f>D7</f>
        <v>0</v>
      </c>
      <c r="R61">
        <v>1</v>
      </c>
      <c r="U61" s="13"/>
      <c r="V61" s="13"/>
    </row>
    <row r="62" spans="1:22" x14ac:dyDescent="0.3">
      <c r="H62">
        <f t="shared" si="1"/>
        <v>0</v>
      </c>
      <c r="U62" s="13"/>
      <c r="V62" s="13"/>
    </row>
    <row r="63" spans="1:22" x14ac:dyDescent="0.3">
      <c r="H63">
        <f t="shared" si="1"/>
        <v>0</v>
      </c>
      <c r="U63" s="13"/>
      <c r="V63" s="13"/>
    </row>
    <row r="64" spans="1:22" x14ac:dyDescent="0.3">
      <c r="A64">
        <v>5</v>
      </c>
      <c r="B64">
        <f>B8</f>
        <v>0</v>
      </c>
      <c r="C64">
        <f>C8</f>
        <v>0</v>
      </c>
      <c r="D64">
        <f>D8</f>
        <v>1</v>
      </c>
      <c r="E64">
        <v>1</v>
      </c>
      <c r="G64">
        <f>MDETERM(B64:E67)</f>
        <v>1</v>
      </c>
      <c r="H64">
        <f t="shared" si="1"/>
        <v>0.16666666666666666</v>
      </c>
      <c r="K64" t="s">
        <v>15</v>
      </c>
    </row>
    <row r="65" spans="1:8" x14ac:dyDescent="0.3">
      <c r="A65">
        <v>1</v>
      </c>
      <c r="B65">
        <f>B4</f>
        <v>0</v>
      </c>
      <c r="C65">
        <f>C4</f>
        <v>0</v>
      </c>
      <c r="D65">
        <f>D4</f>
        <v>0</v>
      </c>
      <c r="E65">
        <v>1</v>
      </c>
      <c r="H65">
        <f t="shared" si="1"/>
        <v>0</v>
      </c>
    </row>
    <row r="66" spans="1:8" x14ac:dyDescent="0.3">
      <c r="A66">
        <v>3</v>
      </c>
      <c r="B66">
        <f t="shared" ref="B66:D67" si="9">B6</f>
        <v>1</v>
      </c>
      <c r="C66">
        <f t="shared" si="9"/>
        <v>1</v>
      </c>
      <c r="D66">
        <f t="shared" si="9"/>
        <v>0</v>
      </c>
      <c r="E66">
        <v>1</v>
      </c>
      <c r="H66">
        <f t="shared" si="1"/>
        <v>0</v>
      </c>
    </row>
    <row r="67" spans="1:8" x14ac:dyDescent="0.3">
      <c r="A67">
        <v>4</v>
      </c>
      <c r="B67">
        <f t="shared" si="9"/>
        <v>0</v>
      </c>
      <c r="C67">
        <f t="shared" si="9"/>
        <v>1</v>
      </c>
      <c r="D67">
        <f t="shared" si="9"/>
        <v>0</v>
      </c>
      <c r="E67">
        <v>1</v>
      </c>
      <c r="H67">
        <f t="shared" si="1"/>
        <v>0</v>
      </c>
    </row>
  </sheetData>
  <hyperlinks>
    <hyperlink ref="S53" r:id="rId1"/>
  </hyperlinks>
  <pageMargins left="0.7" right="0.7" top="0.75" bottom="0.75" header="0.3" footer="0.3"/>
  <pageSetup paperSize="9" orientation="portrait" verticalDpi="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5"/>
  <sheetViews>
    <sheetView workbookViewId="0">
      <selection activeCell="N14" sqref="N14"/>
    </sheetView>
  </sheetViews>
  <sheetFormatPr defaultRowHeight="14.4" x14ac:dyDescent="0.3"/>
  <sheetData>
    <row r="2" spans="1:22" x14ac:dyDescent="0.3">
      <c r="B2" t="s">
        <v>28</v>
      </c>
      <c r="C2" t="s">
        <v>29</v>
      </c>
      <c r="D2" t="s">
        <v>30</v>
      </c>
      <c r="F2" t="s">
        <v>31</v>
      </c>
      <c r="H2" t="s">
        <v>32</v>
      </c>
    </row>
    <row r="3" spans="1:22" x14ac:dyDescent="0.3">
      <c r="A3">
        <v>1</v>
      </c>
      <c r="B3">
        <v>0</v>
      </c>
      <c r="C3">
        <v>0</v>
      </c>
      <c r="D3">
        <v>0</v>
      </c>
      <c r="F3">
        <f>1/8</f>
        <v>0.125</v>
      </c>
      <c r="H3">
        <v>0.57735000000000003</v>
      </c>
    </row>
    <row r="4" spans="1:22" x14ac:dyDescent="0.3">
      <c r="A4">
        <v>2</v>
      </c>
      <c r="B4">
        <v>1</v>
      </c>
      <c r="C4">
        <v>0</v>
      </c>
      <c r="D4">
        <v>0</v>
      </c>
      <c r="H4">
        <f>-H3</f>
        <v>-0.57735000000000003</v>
      </c>
    </row>
    <row r="5" spans="1:22" x14ac:dyDescent="0.3">
      <c r="A5">
        <v>3</v>
      </c>
      <c r="B5">
        <v>1</v>
      </c>
      <c r="C5">
        <v>1</v>
      </c>
      <c r="D5">
        <v>0</v>
      </c>
    </row>
    <row r="6" spans="1:22" x14ac:dyDescent="0.3">
      <c r="A6">
        <v>4</v>
      </c>
      <c r="B6">
        <v>0</v>
      </c>
      <c r="C6">
        <v>1</v>
      </c>
      <c r="D6">
        <v>0</v>
      </c>
    </row>
    <row r="7" spans="1:22" x14ac:dyDescent="0.3">
      <c r="A7">
        <v>5</v>
      </c>
      <c r="B7">
        <v>0</v>
      </c>
      <c r="C7">
        <v>0</v>
      </c>
      <c r="D7">
        <v>1</v>
      </c>
    </row>
    <row r="8" spans="1:22" x14ac:dyDescent="0.3">
      <c r="A8">
        <v>6</v>
      </c>
      <c r="B8">
        <v>1.2</v>
      </c>
      <c r="C8">
        <v>0</v>
      </c>
      <c r="D8">
        <v>1</v>
      </c>
    </row>
    <row r="9" spans="1:22" x14ac:dyDescent="0.3">
      <c r="A9">
        <v>7</v>
      </c>
      <c r="B9">
        <v>1</v>
      </c>
      <c r="C9">
        <v>1</v>
      </c>
      <c r="D9">
        <v>0.7</v>
      </c>
    </row>
    <row r="10" spans="1:22" x14ac:dyDescent="0.3">
      <c r="A10">
        <v>8</v>
      </c>
      <c r="B10">
        <v>0</v>
      </c>
      <c r="C10">
        <v>1.5</v>
      </c>
      <c r="D10">
        <v>1</v>
      </c>
    </row>
    <row r="13" spans="1:22" ht="15" thickBot="1" x14ac:dyDescent="0.35">
      <c r="C13" t="s">
        <v>16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25</v>
      </c>
      <c r="K13" t="s">
        <v>26</v>
      </c>
      <c r="L13" t="s">
        <v>27</v>
      </c>
      <c r="V13" t="s">
        <v>35</v>
      </c>
    </row>
    <row r="14" spans="1:22" x14ac:dyDescent="0.3">
      <c r="A14">
        <v>1</v>
      </c>
      <c r="B14" s="3" t="s">
        <v>17</v>
      </c>
      <c r="C14">
        <v>0.57735000000000003</v>
      </c>
      <c r="E14" s="4">
        <f>-(1-C15)*(1-C16)</f>
        <v>-0.17863302249999999</v>
      </c>
      <c r="F14" s="5">
        <f>(1-C15)*(1-C16)</f>
        <v>0.17863302249999999</v>
      </c>
      <c r="G14" s="5">
        <f>(1+C15)*(1-C16)</f>
        <v>0.66666697749999992</v>
      </c>
      <c r="H14" s="5">
        <f>-(1+C15)*(1-C16)</f>
        <v>-0.66666697749999992</v>
      </c>
      <c r="I14" s="5">
        <f>-(1-C15)*(1+C16)</f>
        <v>-0.66666697749999992</v>
      </c>
      <c r="J14" s="5">
        <f>(1-C15)*(1+C16)</f>
        <v>0.66666697749999992</v>
      </c>
      <c r="K14" s="5">
        <f>(1+C15)*(1+C16)</f>
        <v>2.4880330225000002</v>
      </c>
      <c r="L14" s="6">
        <f>-(1+C15)*(1+C17)</f>
        <v>-1.57735</v>
      </c>
      <c r="N14" s="4">
        <f t="array" ref="N14:P16">MMULT(E14:L16,$B$3:$D$10)</f>
        <v>4.1333333955000002</v>
      </c>
      <c r="O14" s="5">
        <v>0.1220080225000002</v>
      </c>
      <c r="P14" s="6">
        <v>0.16427311575000014</v>
      </c>
      <c r="R14" s="4">
        <f>$F$3*N14</f>
        <v>0.51666667443750003</v>
      </c>
      <c r="S14" s="5">
        <f t="shared" ref="S14:T16" si="0">$F$3*O14</f>
        <v>1.5251002812500025E-2</v>
      </c>
      <c r="T14" s="6">
        <f t="shared" si="0"/>
        <v>2.0534139468750018E-2</v>
      </c>
      <c r="V14">
        <f>MDETERM(R14:T16)</f>
        <v>0.11595123525741448</v>
      </c>
    </row>
    <row r="15" spans="1:22" x14ac:dyDescent="0.3">
      <c r="B15" s="3" t="s">
        <v>18</v>
      </c>
      <c r="C15">
        <v>0.57735000000000003</v>
      </c>
      <c r="E15" s="7">
        <f>-(1-C14)*(1-C16)</f>
        <v>-0.17863302249999999</v>
      </c>
      <c r="F15" s="8">
        <f>-(1+C14)*(1-C16)</f>
        <v>-0.66666697749999992</v>
      </c>
      <c r="G15" s="8">
        <f>(1+C14)*(1-C16)</f>
        <v>0.66666697749999992</v>
      </c>
      <c r="H15" s="8">
        <f>(1-C14)*(1-C16)</f>
        <v>0.17863302249999999</v>
      </c>
      <c r="I15" s="8">
        <f>-(1-C14)*(1+C16)</f>
        <v>-0.66666697749999992</v>
      </c>
      <c r="J15" s="8">
        <f>-(1+C14)*(1+C16)</f>
        <v>-2.4880330225000002</v>
      </c>
      <c r="K15" s="8">
        <f>(1+C14)*(1+C16)</f>
        <v>2.4880330225000002</v>
      </c>
      <c r="L15" s="9">
        <f>(1-C14)*(1+C16)</f>
        <v>0.66666697749999992</v>
      </c>
      <c r="N15" s="7">
        <v>-0.49760660450000005</v>
      </c>
      <c r="O15" s="8">
        <v>4.3333334887500001</v>
      </c>
      <c r="P15" s="9">
        <v>-0.74640990674999996</v>
      </c>
      <c r="R15" s="7">
        <f>$F$3*N15</f>
        <v>-6.2200825562500006E-2</v>
      </c>
      <c r="S15" s="8">
        <f t="shared" si="0"/>
        <v>0.54166668609375002</v>
      </c>
      <c r="T15" s="9">
        <f t="shared" si="0"/>
        <v>-9.3301238343749995E-2</v>
      </c>
    </row>
    <row r="16" spans="1:22" ht="15" thickBot="1" x14ac:dyDescent="0.35">
      <c r="B16" s="3" t="s">
        <v>19</v>
      </c>
      <c r="C16">
        <v>0.57735000000000003</v>
      </c>
      <c r="E16" s="10">
        <f>-(1-C14)*(1-C15)</f>
        <v>-0.17863302249999999</v>
      </c>
      <c r="F16" s="11">
        <f>-(1+C14)*(1-C15)</f>
        <v>-0.66666697749999992</v>
      </c>
      <c r="G16" s="11">
        <f>-(1+C14)*(1+C15)</f>
        <v>-2.4880330225000002</v>
      </c>
      <c r="H16" s="11">
        <f>-(1-C14)*(1+C15)</f>
        <v>-0.66666697749999992</v>
      </c>
      <c r="I16" s="11">
        <f>(1-C14)*(1-C15)</f>
        <v>0.17863302249999999</v>
      </c>
      <c r="J16" s="11">
        <f>(1+C14)*(1-C15)</f>
        <v>0.66666697749999992</v>
      </c>
      <c r="K16" s="11">
        <f>(1+C14)*(1+C15)</f>
        <v>2.4880330225000002</v>
      </c>
      <c r="L16" s="12">
        <f>(1-C14)*(1+C15)</f>
        <v>0.66666697749999992</v>
      </c>
      <c r="N16" s="10">
        <v>0.13333339550000023</v>
      </c>
      <c r="O16" s="11">
        <v>0.33333348875000013</v>
      </c>
      <c r="P16" s="12">
        <v>3.2535900932500001</v>
      </c>
      <c r="R16" s="10">
        <f>$F$3*N16</f>
        <v>1.6666674437500029E-2</v>
      </c>
      <c r="S16" s="11">
        <f t="shared" si="0"/>
        <v>4.1666686093750016E-2</v>
      </c>
      <c r="T16" s="12">
        <f>$F$3*P16</f>
        <v>0.40669876165625002</v>
      </c>
    </row>
    <row r="17" spans="1:22" ht="15" thickBot="1" x14ac:dyDescent="0.35"/>
    <row r="18" spans="1:22" x14ac:dyDescent="0.3">
      <c r="A18">
        <v>2</v>
      </c>
      <c r="C18">
        <v>0.57735000000000003</v>
      </c>
      <c r="E18" s="4">
        <f>-(1-C19)*(1-C20)</f>
        <v>-0.66666697749999992</v>
      </c>
      <c r="F18" s="5">
        <f>(1-C19)*(1-C20)</f>
        <v>0.66666697749999992</v>
      </c>
      <c r="G18" s="5">
        <f>(1+C19)*(1-C20)</f>
        <v>2.4880330225000002</v>
      </c>
      <c r="H18" s="5">
        <f>-(1+C19)*(1-C20)</f>
        <v>-2.4880330225000002</v>
      </c>
      <c r="I18" s="5">
        <f>-(1-C19)*(1+C20)</f>
        <v>-0.17863302249999999</v>
      </c>
      <c r="J18" s="5">
        <f>(1-C19)*(1+C20)</f>
        <v>0.17863302249999999</v>
      </c>
      <c r="K18" s="5">
        <f>(1+C19)*(1+C20)</f>
        <v>0.66666697749999992</v>
      </c>
      <c r="L18" s="6">
        <f>-(1+C19)*(1+C21)</f>
        <v>-1.57735</v>
      </c>
      <c r="N18">
        <f t="array" ref="N18:P20">MMULT(E18:L20,$B$3:$D$10)</f>
        <v>4.0357266044999998</v>
      </c>
      <c r="O18">
        <v>-1.6993580225000002</v>
      </c>
      <c r="P18">
        <v>-1.1106831157500001</v>
      </c>
      <c r="R18" s="4">
        <f>$F$3*N18</f>
        <v>0.50446582556249997</v>
      </c>
      <c r="S18" s="5">
        <f t="shared" ref="S18:S20" si="1">$F$3*O18</f>
        <v>-0.21241975281250003</v>
      </c>
      <c r="T18" s="6">
        <f t="shared" ref="T18:T19" si="2">$F$3*P18</f>
        <v>-0.13883538946875001</v>
      </c>
      <c r="V18">
        <f>MDETERM(R18:T20)</f>
        <v>0.1053267535137985</v>
      </c>
    </row>
    <row r="19" spans="1:22" x14ac:dyDescent="0.3">
      <c r="C19">
        <v>0.57735000000000003</v>
      </c>
      <c r="E19" s="7">
        <f>-(1-C18)*(1-C20)</f>
        <v>-0.66666697749999992</v>
      </c>
      <c r="F19" s="8">
        <f>-(1+C18)*(1-C20)</f>
        <v>-2.4880330225000002</v>
      </c>
      <c r="G19" s="8">
        <f>(1+C18)*(1-C20)</f>
        <v>2.4880330225000002</v>
      </c>
      <c r="H19" s="8">
        <f>(1-C18)*(1-C20)</f>
        <v>0.66666697749999992</v>
      </c>
      <c r="I19" s="8">
        <f>-(1-C18)*(1+C20)</f>
        <v>-0.17863302249999999</v>
      </c>
      <c r="J19" s="8">
        <f>-(1+C18)*(1+C20)</f>
        <v>-0.66666697749999992</v>
      </c>
      <c r="K19" s="8">
        <f>(1+C18)*(1+C20)</f>
        <v>0.66666697749999992</v>
      </c>
      <c r="L19" s="9">
        <f>(1-C18)*(1+C20)</f>
        <v>0.17863302249999999</v>
      </c>
      <c r="N19">
        <v>-0.13333339550000001</v>
      </c>
      <c r="O19">
        <v>4.0893165112499998</v>
      </c>
      <c r="P19">
        <v>-0.20000009325000004</v>
      </c>
      <c r="R19" s="7">
        <f>$F$3*N19</f>
        <v>-1.6666674437500001E-2</v>
      </c>
      <c r="S19" s="8">
        <f t="shared" si="1"/>
        <v>0.51116456390624998</v>
      </c>
      <c r="T19" s="9">
        <f t="shared" si="2"/>
        <v>-2.5000011656250005E-2</v>
      </c>
    </row>
    <row r="20" spans="1:22" ht="15" thickBot="1" x14ac:dyDescent="0.35">
      <c r="C20">
        <v>-0.57735000000000003</v>
      </c>
      <c r="E20" s="10">
        <f>-(1-C18)*(1-C19)</f>
        <v>-0.17863302249999999</v>
      </c>
      <c r="F20" s="11">
        <f>-(1+C18)*(1-C19)</f>
        <v>-0.66666697749999992</v>
      </c>
      <c r="G20" s="11">
        <f>-(1+C18)*(1+C19)</f>
        <v>-2.4880330225000002</v>
      </c>
      <c r="H20" s="11">
        <f>-(1-C18)*(1+C19)</f>
        <v>-0.66666697749999992</v>
      </c>
      <c r="I20" s="11">
        <f>(1-C18)*(1-C19)</f>
        <v>0.17863302249999999</v>
      </c>
      <c r="J20" s="11">
        <f>(1+C18)*(1-C19)</f>
        <v>0.66666697749999992</v>
      </c>
      <c r="K20" s="11">
        <f>(1+C18)*(1+C19)</f>
        <v>2.4880330225000002</v>
      </c>
      <c r="L20" s="12">
        <f>(1-C18)*(1+C19)</f>
        <v>0.66666697749999992</v>
      </c>
      <c r="N20">
        <v>0.13333339550000023</v>
      </c>
      <c r="O20">
        <v>0.33333348875000013</v>
      </c>
      <c r="P20">
        <v>3.2535900932500001</v>
      </c>
      <c r="R20" s="10">
        <f>$F$3*N20</f>
        <v>1.6666674437500029E-2</v>
      </c>
      <c r="S20" s="11">
        <f t="shared" si="1"/>
        <v>4.1666686093750016E-2</v>
      </c>
      <c r="T20" s="12">
        <f>$F$3*P20</f>
        <v>0.40669876165625002</v>
      </c>
    </row>
    <row r="21" spans="1:22" ht="15" thickBot="1" x14ac:dyDescent="0.35"/>
    <row r="22" spans="1:22" x14ac:dyDescent="0.3">
      <c r="A22">
        <v>3</v>
      </c>
      <c r="C22">
        <v>0.57735000000000003</v>
      </c>
      <c r="E22" s="4">
        <f>-(1-C23)*(1-C24)</f>
        <v>-0.66666697749999992</v>
      </c>
      <c r="F22" s="5">
        <f>(1-C23)*(1-C24)</f>
        <v>0.66666697749999992</v>
      </c>
      <c r="G22" s="5">
        <f>(1+C23)*(1-C24)</f>
        <v>0.17863302249999999</v>
      </c>
      <c r="H22" s="5">
        <f>-(1+C23)*(1-C24)</f>
        <v>-0.17863302249999999</v>
      </c>
      <c r="I22" s="5">
        <f>-(1-C23)*(1+C24)</f>
        <v>-2.4880330225000002</v>
      </c>
      <c r="J22" s="5">
        <f>(1-C23)*(1+C24)</f>
        <v>2.4880330225000002</v>
      </c>
      <c r="K22" s="5">
        <f>(1+C23)*(1+C24)</f>
        <v>0.66666697749999992</v>
      </c>
      <c r="L22" s="6">
        <f>-(1+C23)*(1+C25)</f>
        <v>-0.42264999999999997</v>
      </c>
      <c r="N22">
        <f t="array" ref="N22:P24">MMULT(E22:L24,$B$3:$D$10)</f>
        <v>4.4976066045000005</v>
      </c>
      <c r="O22">
        <v>3.2691977499999969E-2</v>
      </c>
      <c r="P22">
        <v>4.4016884249999944E-2</v>
      </c>
      <c r="R22" s="4">
        <f>$F$3*N22</f>
        <v>0.56220082556250006</v>
      </c>
      <c r="S22" s="5">
        <f t="shared" ref="S22:S24" si="3">$F$3*O22</f>
        <v>4.0864971874999961E-3</v>
      </c>
      <c r="T22" s="6">
        <f t="shared" ref="T22:T23" si="4">$F$3*P22</f>
        <v>5.5021105312499929E-3</v>
      </c>
      <c r="V22">
        <f>MDETERM(R22:T24)</f>
        <v>0.14514303832371264</v>
      </c>
    </row>
    <row r="23" spans="1:22" x14ac:dyDescent="0.3">
      <c r="C23">
        <v>-0.57735000000000003</v>
      </c>
      <c r="E23" s="7">
        <f>-(1-C22)*(1-C24)</f>
        <v>-0.17863302249999999</v>
      </c>
      <c r="F23" s="8">
        <f>-(1+C22)*(1-C24)</f>
        <v>-0.66666697749999992</v>
      </c>
      <c r="G23" s="8">
        <f>(1+C22)*(1-C24)</f>
        <v>0.66666697749999992</v>
      </c>
      <c r="H23" s="8">
        <f>(1-C22)*(1-C24)</f>
        <v>0.17863302249999999</v>
      </c>
      <c r="I23" s="8">
        <f>-(1-C22)*(1+C24)</f>
        <v>-0.66666697749999992</v>
      </c>
      <c r="J23" s="8">
        <f>-(1+C22)*(1+C24)</f>
        <v>-2.4880330225000002</v>
      </c>
      <c r="K23" s="8">
        <f>(1+C22)*(1+C24)</f>
        <v>2.4880330225000002</v>
      </c>
      <c r="L23" s="9">
        <f>(1-C22)*(1+C24)</f>
        <v>0.66666697749999992</v>
      </c>
      <c r="N23">
        <v>-0.49760660450000005</v>
      </c>
      <c r="O23">
        <v>4.3333334887500001</v>
      </c>
      <c r="P23">
        <v>-0.74640990674999996</v>
      </c>
      <c r="R23" s="7">
        <f>$F$3*N23</f>
        <v>-6.2200825562500006E-2</v>
      </c>
      <c r="S23" s="8">
        <f t="shared" si="3"/>
        <v>0.54166668609375002</v>
      </c>
      <c r="T23" s="9">
        <f t="shared" si="4"/>
        <v>-9.3301238343749995E-2</v>
      </c>
    </row>
    <row r="24" spans="1:22" ht="15" thickBot="1" x14ac:dyDescent="0.35">
      <c r="C24">
        <v>0.57735000000000003</v>
      </c>
      <c r="E24" s="10">
        <f>-(1-C22)*(1-C23)</f>
        <v>-0.66666697749999992</v>
      </c>
      <c r="F24" s="11">
        <f>-(1+C22)*(1-C23)</f>
        <v>-2.4880330225000002</v>
      </c>
      <c r="G24" s="11">
        <f>-(1+C22)*(1+C23)</f>
        <v>-0.66666697749999992</v>
      </c>
      <c r="H24" s="11">
        <f>-(1-C22)*(1+C23)</f>
        <v>-0.17863302249999999</v>
      </c>
      <c r="I24" s="11">
        <f>(1-C22)*(1-C23)</f>
        <v>0.66666697749999992</v>
      </c>
      <c r="J24" s="11">
        <f>(1+C22)*(1-C23)</f>
        <v>2.4880330225000002</v>
      </c>
      <c r="K24" s="11">
        <f>(1+C22)*(1+C23)</f>
        <v>0.66666697749999992</v>
      </c>
      <c r="L24" s="12">
        <f>(1-C22)*(1+C23)</f>
        <v>0.17863302249999999</v>
      </c>
      <c r="N24">
        <v>0.49760660450000016</v>
      </c>
      <c r="O24">
        <v>8.9316511249999953E-2</v>
      </c>
      <c r="P24">
        <v>3.7999999067500001</v>
      </c>
      <c r="R24" s="10">
        <f>$F$3*N24</f>
        <v>6.220082556250002E-2</v>
      </c>
      <c r="S24" s="11">
        <f t="shared" si="3"/>
        <v>1.1164563906249994E-2</v>
      </c>
      <c r="T24" s="12">
        <f>$F$3*P24</f>
        <v>0.47499998834375001</v>
      </c>
    </row>
    <row r="25" spans="1:22" ht="15" thickBot="1" x14ac:dyDescent="0.35"/>
    <row r="26" spans="1:22" x14ac:dyDescent="0.3">
      <c r="A26">
        <v>4</v>
      </c>
      <c r="C26">
        <v>0.57735000000000003</v>
      </c>
      <c r="E26" s="4">
        <f>-(1-C27)*(1-C28)</f>
        <v>-2.4880330225000002</v>
      </c>
      <c r="F26" s="5">
        <f>(1-C27)*(1-C28)</f>
        <v>2.4880330225000002</v>
      </c>
      <c r="G26" s="5">
        <f>(1+C27)*(1-C28)</f>
        <v>0.66666697749999992</v>
      </c>
      <c r="H26" s="5">
        <f>-(1+C27)*(1-C28)</f>
        <v>-0.66666697749999992</v>
      </c>
      <c r="I26" s="5">
        <f>-(1-C27)*(1+C28)</f>
        <v>-0.66666697749999992</v>
      </c>
      <c r="J26" s="5">
        <f>(1-C27)*(1+C28)</f>
        <v>0.66666697749999992</v>
      </c>
      <c r="K26" s="5">
        <f>(1+C27)*(1+C28)</f>
        <v>0.17863302249999999</v>
      </c>
      <c r="L26" s="6">
        <f>-(1+C27)*(1+C29)</f>
        <v>-0.42264999999999997</v>
      </c>
      <c r="N26">
        <f t="array" ref="N26:P28">MMULT(E26:L28,$B$3:$D$10)</f>
        <v>4.1333333955000002</v>
      </c>
      <c r="O26">
        <v>-0.45534197749999994</v>
      </c>
      <c r="P26">
        <v>-0.29760688424999998</v>
      </c>
      <c r="R26" s="4">
        <f>$F$3*N26</f>
        <v>0.51666667443750003</v>
      </c>
      <c r="S26" s="5">
        <f t="shared" ref="S26:S28" si="5">$F$3*O26</f>
        <v>-5.6917747187499992E-2</v>
      </c>
      <c r="T26" s="6">
        <f t="shared" ref="T26:T27" si="6">$F$3*P26</f>
        <v>-3.7200860531249998E-2</v>
      </c>
      <c r="V26">
        <f>MDETERM(R26:T28)</f>
        <v>0.12642013876846689</v>
      </c>
    </row>
    <row r="27" spans="1:22" x14ac:dyDescent="0.3">
      <c r="C27">
        <v>-0.57735000000000003</v>
      </c>
      <c r="E27" s="7">
        <f>-(1-C26)*(1-C28)</f>
        <v>-0.66666697749999992</v>
      </c>
      <c r="F27" s="8">
        <f>-(1+C26)*(1-C28)</f>
        <v>-2.4880330225000002</v>
      </c>
      <c r="G27" s="8">
        <f>(1+C26)*(1-C28)</f>
        <v>2.4880330225000002</v>
      </c>
      <c r="H27" s="8">
        <f>(1-C26)*(1-C28)</f>
        <v>0.66666697749999992</v>
      </c>
      <c r="I27" s="8">
        <f>-(1-C26)*(1+C28)</f>
        <v>-0.17863302249999999</v>
      </c>
      <c r="J27" s="8">
        <f>-(1+C26)*(1+C28)</f>
        <v>-0.66666697749999992</v>
      </c>
      <c r="K27" s="8">
        <f>(1+C26)*(1+C28)</f>
        <v>0.66666697749999992</v>
      </c>
      <c r="L27" s="9">
        <f>(1-C26)*(1+C28)</f>
        <v>0.17863302249999999</v>
      </c>
      <c r="N27">
        <v>-0.13333339550000001</v>
      </c>
      <c r="O27">
        <v>4.0893165112499998</v>
      </c>
      <c r="P27">
        <v>-0.20000009325000004</v>
      </c>
      <c r="R27" s="7">
        <f>$F$3*N27</f>
        <v>-1.6666674437500001E-2</v>
      </c>
      <c r="S27" s="8">
        <f t="shared" si="5"/>
        <v>0.51116456390624998</v>
      </c>
      <c r="T27" s="9">
        <f t="shared" si="6"/>
        <v>-2.5000011656250005E-2</v>
      </c>
    </row>
    <row r="28" spans="1:22" ht="15" thickBot="1" x14ac:dyDescent="0.35">
      <c r="C28">
        <v>-0.57735000000000003</v>
      </c>
      <c r="E28" s="10">
        <f>-(1-C26)*(1-C27)</f>
        <v>-0.66666697749999992</v>
      </c>
      <c r="F28" s="11">
        <f>-(1+C26)*(1-C27)</f>
        <v>-2.4880330225000002</v>
      </c>
      <c r="G28" s="11">
        <f>-(1+C26)*(1+C27)</f>
        <v>-0.66666697749999992</v>
      </c>
      <c r="H28" s="11">
        <f>-(1-C26)*(1+C27)</f>
        <v>-0.17863302249999999</v>
      </c>
      <c r="I28" s="11">
        <f>(1-C26)*(1-C27)</f>
        <v>0.66666697749999992</v>
      </c>
      <c r="J28" s="11">
        <f>(1+C26)*(1-C27)</f>
        <v>2.4880330225000002</v>
      </c>
      <c r="K28" s="11">
        <f>(1+C26)*(1+C27)</f>
        <v>0.66666697749999992</v>
      </c>
      <c r="L28" s="12">
        <f>(1-C26)*(1+C27)</f>
        <v>0.17863302249999999</v>
      </c>
      <c r="N28">
        <v>0.49760660450000016</v>
      </c>
      <c r="O28">
        <v>8.9316511249999953E-2</v>
      </c>
      <c r="P28">
        <v>3.7999999067500001</v>
      </c>
      <c r="R28" s="10">
        <f>$F$3*N28</f>
        <v>6.220082556250002E-2</v>
      </c>
      <c r="S28" s="11">
        <f t="shared" si="5"/>
        <v>1.1164563906249994E-2</v>
      </c>
      <c r="T28" s="12">
        <f>$F$3*P28</f>
        <v>0.47499998834375001</v>
      </c>
    </row>
    <row r="29" spans="1:22" ht="15" thickBot="1" x14ac:dyDescent="0.35"/>
    <row r="30" spans="1:22" x14ac:dyDescent="0.3">
      <c r="A30">
        <v>5</v>
      </c>
      <c r="C30">
        <v>-0.57735000000000003</v>
      </c>
      <c r="E30" s="4">
        <f>-(1-C31)*(1-C32)</f>
        <v>-0.17863302249999999</v>
      </c>
      <c r="F30" s="5">
        <f>(1-C31)*(1-C32)</f>
        <v>0.17863302249999999</v>
      </c>
      <c r="G30" s="5">
        <f>(1+C31)*(1-C32)</f>
        <v>0.66666697749999992</v>
      </c>
      <c r="H30" s="5">
        <f>-(1+C31)*(1-C32)</f>
        <v>-0.66666697749999992</v>
      </c>
      <c r="I30" s="5">
        <f>-(1-C31)*(1+C32)</f>
        <v>-0.66666697749999992</v>
      </c>
      <c r="J30" s="5">
        <f>(1-C31)*(1+C32)</f>
        <v>0.66666697749999992</v>
      </c>
      <c r="K30" s="5">
        <f>(1+C31)*(1+C32)</f>
        <v>2.4880330225000002</v>
      </c>
      <c r="L30" s="6">
        <f>-(1+C31)*(1+C33)</f>
        <v>-1.57735</v>
      </c>
      <c r="N30">
        <f t="array" ref="N30:P32">MMULT(E30:L32,$B$3:$D$10)</f>
        <v>4.1333333955000002</v>
      </c>
      <c r="O30">
        <v>0.1220080225000002</v>
      </c>
      <c r="P30">
        <v>0.16427311575000014</v>
      </c>
      <c r="R30" s="4">
        <f>$F$3*N30</f>
        <v>0.51666667443750003</v>
      </c>
      <c r="S30" s="5">
        <f t="shared" ref="S30:S32" si="7">$F$3*O30</f>
        <v>1.5251002812500025E-2</v>
      </c>
      <c r="T30" s="6">
        <f t="shared" ref="T30:T31" si="8">$F$3*P30</f>
        <v>2.0534139468750018E-2</v>
      </c>
      <c r="V30">
        <f>MDETERM(R30:T32)</f>
        <v>0.16288540458040404</v>
      </c>
    </row>
    <row r="31" spans="1:22" x14ac:dyDescent="0.3">
      <c r="C31">
        <v>0.57735000000000003</v>
      </c>
      <c r="E31" s="7">
        <f>-(1-C30)*(1-C32)</f>
        <v>-0.66666697749999992</v>
      </c>
      <c r="F31" s="8">
        <f>-(1+C30)*(1-C32)</f>
        <v>-0.17863302249999999</v>
      </c>
      <c r="G31" s="8">
        <f>(1+C30)*(1-C32)</f>
        <v>0.17863302249999999</v>
      </c>
      <c r="H31" s="8">
        <f>(1-C30)*(1-C32)</f>
        <v>0.66666697749999992</v>
      </c>
      <c r="I31" s="8">
        <f>-(1-C30)*(1+C32)</f>
        <v>-2.4880330225000002</v>
      </c>
      <c r="J31" s="8">
        <f>-(1+C30)*(1+C32)</f>
        <v>-0.66666697749999992</v>
      </c>
      <c r="K31" s="8">
        <f>(1+C30)*(1+C32)</f>
        <v>0.66666697749999992</v>
      </c>
      <c r="L31" s="9">
        <f>(1-C30)*(1+C32)</f>
        <v>2.4880330225000002</v>
      </c>
      <c r="N31">
        <v>-0.13333339550000001</v>
      </c>
      <c r="O31">
        <v>5.2440165112500008</v>
      </c>
      <c r="P31">
        <v>-0.2000000932499999</v>
      </c>
      <c r="R31" s="7">
        <f>$F$3*N31</f>
        <v>-1.6666674437500001E-2</v>
      </c>
      <c r="S31" s="8">
        <f t="shared" si="7"/>
        <v>0.6555020639062501</v>
      </c>
      <c r="T31" s="9">
        <f t="shared" si="8"/>
        <v>-2.5000011656249987E-2</v>
      </c>
    </row>
    <row r="32" spans="1:22" ht="15" thickBot="1" x14ac:dyDescent="0.35">
      <c r="C32">
        <v>0.57735000000000003</v>
      </c>
      <c r="E32" s="10">
        <f>-(1-C30)*(1-C31)</f>
        <v>-0.66666697749999992</v>
      </c>
      <c r="F32" s="11">
        <f>-(1+C30)*(1-C31)</f>
        <v>-0.17863302249999999</v>
      </c>
      <c r="G32" s="11">
        <f>-(1+C30)*(1+C31)</f>
        <v>-0.66666697749999992</v>
      </c>
      <c r="H32" s="11">
        <f>-(1-C30)*(1+C31)</f>
        <v>-2.4880330225000002</v>
      </c>
      <c r="I32" s="11">
        <f>(1-C30)*(1-C31)</f>
        <v>0.66666697749999992</v>
      </c>
      <c r="J32" s="11">
        <f>(1+C30)*(1-C31)</f>
        <v>0.17863302249999999</v>
      </c>
      <c r="K32" s="11">
        <f>(1+C30)*(1+C31)</f>
        <v>0.66666697749999992</v>
      </c>
      <c r="L32" s="12">
        <f>(1-C30)*(1+C31)</f>
        <v>2.4880330225000002</v>
      </c>
      <c r="N32">
        <v>3.5726604499999981E-2</v>
      </c>
      <c r="O32">
        <v>1.2440165112500003</v>
      </c>
      <c r="P32">
        <v>3.7999999067500001</v>
      </c>
      <c r="R32" s="10">
        <f>$F$3*N32</f>
        <v>4.4658255624999976E-3</v>
      </c>
      <c r="S32" s="11">
        <f t="shared" si="7"/>
        <v>0.15550206390625004</v>
      </c>
      <c r="T32" s="12">
        <f>$F$3*P32</f>
        <v>0.47499998834375001</v>
      </c>
    </row>
    <row r="33" spans="1:22" ht="15" thickBot="1" x14ac:dyDescent="0.35"/>
    <row r="34" spans="1:22" x14ac:dyDescent="0.3">
      <c r="A34">
        <v>6</v>
      </c>
      <c r="C34">
        <v>-0.57735000000000003</v>
      </c>
      <c r="E34" s="4">
        <f>-(1-C35)*(1-C36)</f>
        <v>-0.66666697749999992</v>
      </c>
      <c r="F34" s="5">
        <f>(1-C35)*(1-C36)</f>
        <v>0.66666697749999992</v>
      </c>
      <c r="G34" s="5">
        <f>(1+C35)*(1-C36)</f>
        <v>2.4880330225000002</v>
      </c>
      <c r="H34" s="5">
        <f>-(1+C35)*(1-C36)</f>
        <v>-2.4880330225000002</v>
      </c>
      <c r="I34" s="5">
        <f>-(1-C35)*(1+C36)</f>
        <v>-0.17863302249999999</v>
      </c>
      <c r="J34" s="5">
        <f>(1-C35)*(1+C36)</f>
        <v>0.17863302249999999</v>
      </c>
      <c r="K34" s="5">
        <f>(1+C35)*(1+C36)</f>
        <v>0.66666697749999992</v>
      </c>
      <c r="L34" s="6">
        <f>-(1+C35)*(1+C37)</f>
        <v>-1.57735</v>
      </c>
      <c r="N34">
        <f t="array" ref="N34:P36">MMULT(E34:L36,$B$3:$D$10)</f>
        <v>4.0357266044999998</v>
      </c>
      <c r="O34">
        <v>-1.6993580225000002</v>
      </c>
      <c r="P34">
        <v>-1.1106831157500001</v>
      </c>
      <c r="R34" s="4">
        <f>$F$3*N34</f>
        <v>0.50446582556249997</v>
      </c>
      <c r="S34" s="5">
        <f t="shared" ref="S34:S36" si="9">$F$3*O34</f>
        <v>-0.21241975281250003</v>
      </c>
      <c r="T34" s="6">
        <f t="shared" ref="T34:T35" si="10">$F$3*P34</f>
        <v>-0.13883538946875001</v>
      </c>
      <c r="V34">
        <f>MDETERM(R34:T36)</f>
        <v>0.1303083506461224</v>
      </c>
    </row>
    <row r="35" spans="1:22" x14ac:dyDescent="0.3">
      <c r="C35">
        <v>0.57735000000000003</v>
      </c>
      <c r="E35" s="7">
        <f>-(1-C34)*(1-C36)</f>
        <v>-2.4880330225000002</v>
      </c>
      <c r="F35" s="8">
        <f>-(1+C34)*(1-C36)</f>
        <v>-0.66666697749999992</v>
      </c>
      <c r="G35" s="8">
        <f>(1+C34)*(1-C36)</f>
        <v>0.66666697749999992</v>
      </c>
      <c r="H35" s="8">
        <f>(1-C34)*(1-C36)</f>
        <v>2.4880330225000002</v>
      </c>
      <c r="I35" s="8">
        <f>-(1-C34)*(1+C36)</f>
        <v>-0.66666697749999992</v>
      </c>
      <c r="J35" s="8">
        <f>-(1+C34)*(1+C36)</f>
        <v>-0.17863302249999999</v>
      </c>
      <c r="K35" s="8">
        <f>(1+C34)*(1+C36)</f>
        <v>0.17863302249999999</v>
      </c>
      <c r="L35" s="9">
        <f>(1-C34)*(1+C36)</f>
        <v>0.66666697749999992</v>
      </c>
      <c r="N35">
        <v>-3.5726604499999981E-2</v>
      </c>
      <c r="O35">
        <v>4.3333334887500001</v>
      </c>
      <c r="P35">
        <v>-5.3589906749999972E-2</v>
      </c>
      <c r="R35" s="7">
        <f>$F$3*N35</f>
        <v>-4.4658255624999976E-3</v>
      </c>
      <c r="S35" s="8">
        <f t="shared" si="9"/>
        <v>0.54166668609375002</v>
      </c>
      <c r="T35" s="9">
        <f t="shared" si="10"/>
        <v>-6.6987383437499964E-3</v>
      </c>
    </row>
    <row r="36" spans="1:22" ht="15" thickBot="1" x14ac:dyDescent="0.35">
      <c r="C36">
        <v>-0.57735000000000003</v>
      </c>
      <c r="E36" s="10">
        <f>-(1-C34)*(1-C35)</f>
        <v>-0.66666697749999992</v>
      </c>
      <c r="F36" s="11">
        <f>-(1+C34)*(1-C35)</f>
        <v>-0.17863302249999999</v>
      </c>
      <c r="G36" s="11">
        <f>-(1+C34)*(1+C35)</f>
        <v>-0.66666697749999992</v>
      </c>
      <c r="H36" s="11">
        <f>-(1-C34)*(1+C35)</f>
        <v>-2.4880330225000002</v>
      </c>
      <c r="I36" s="11">
        <f>(1-C34)*(1-C35)</f>
        <v>0.66666697749999992</v>
      </c>
      <c r="J36" s="11">
        <f>(1+C34)*(1-C35)</f>
        <v>0.17863302249999999</v>
      </c>
      <c r="K36" s="11">
        <f>(1+C34)*(1+C35)</f>
        <v>0.66666697749999992</v>
      </c>
      <c r="L36" s="12">
        <f>(1-C34)*(1+C35)</f>
        <v>2.4880330225000002</v>
      </c>
      <c r="N36">
        <v>3.5726604499999981E-2</v>
      </c>
      <c r="O36">
        <v>1.2440165112500003</v>
      </c>
      <c r="P36">
        <v>3.7999999067500001</v>
      </c>
      <c r="R36" s="10">
        <f>$F$3*N36</f>
        <v>4.4658255624999976E-3</v>
      </c>
      <c r="S36" s="11">
        <f t="shared" si="9"/>
        <v>0.15550206390625004</v>
      </c>
      <c r="T36" s="12">
        <f>$F$3*P36</f>
        <v>0.47499998834375001</v>
      </c>
    </row>
    <row r="37" spans="1:22" ht="15" thickBot="1" x14ac:dyDescent="0.35"/>
    <row r="38" spans="1:22" x14ac:dyDescent="0.3">
      <c r="A38">
        <v>7</v>
      </c>
      <c r="C38">
        <v>-0.57735000000000003</v>
      </c>
      <c r="E38" s="4">
        <f>-(1-C39)*(1-C40)</f>
        <v>-0.66666697749999992</v>
      </c>
      <c r="F38" s="5">
        <f>(1-C39)*(1-C40)</f>
        <v>0.66666697749999992</v>
      </c>
      <c r="G38" s="5">
        <f>(1+C39)*(1-C40)</f>
        <v>0.17863302249999999</v>
      </c>
      <c r="H38" s="5">
        <f>-(1+C39)*(1-C40)</f>
        <v>-0.17863302249999999</v>
      </c>
      <c r="I38" s="5">
        <f>-(1-C39)*(1+C40)</f>
        <v>-2.4880330225000002</v>
      </c>
      <c r="J38" s="5">
        <f>(1-C39)*(1+C40)</f>
        <v>2.4880330225000002</v>
      </c>
      <c r="K38" s="5">
        <f>(1+C39)*(1+C40)</f>
        <v>0.66666697749999992</v>
      </c>
      <c r="L38" s="6">
        <f>-(1+C39)*(1+C41)</f>
        <v>-0.42264999999999997</v>
      </c>
      <c r="N38">
        <f t="array" ref="N38:P40">MMULT(E38:L40,$B$3:$D$10)</f>
        <v>4.4976066045000005</v>
      </c>
      <c r="O38">
        <v>3.2691977499999969E-2</v>
      </c>
      <c r="P38">
        <v>4.4016884249999944E-2</v>
      </c>
      <c r="R38" s="4">
        <f>$F$3*N38</f>
        <v>0.56220082556250006</v>
      </c>
      <c r="S38" s="5">
        <f t="shared" ref="S38:S40" si="11">$F$3*O38</f>
        <v>4.0864971874999961E-3</v>
      </c>
      <c r="T38" s="6">
        <f t="shared" ref="T38:T39" si="12">$F$3*P38</f>
        <v>5.5021105312499929E-3</v>
      </c>
      <c r="V38">
        <f>MDETERM(R38:T40)</f>
        <v>0.18234684615152275</v>
      </c>
    </row>
    <row r="39" spans="1:22" x14ac:dyDescent="0.3">
      <c r="C39">
        <v>-0.57735000000000003</v>
      </c>
      <c r="E39" s="7">
        <f>-(1-C38)*(1-C40)</f>
        <v>-0.66666697749999992</v>
      </c>
      <c r="F39" s="8">
        <f>-(1+C38)*(1-C40)</f>
        <v>-0.17863302249999999</v>
      </c>
      <c r="G39" s="8">
        <f>(1+C38)*(1-C40)</f>
        <v>0.17863302249999999</v>
      </c>
      <c r="H39" s="8">
        <f>(1-C38)*(1-C40)</f>
        <v>0.66666697749999992</v>
      </c>
      <c r="I39" s="8">
        <f>-(1-C38)*(1+C40)</f>
        <v>-2.4880330225000002</v>
      </c>
      <c r="J39" s="8">
        <f>-(1+C38)*(1+C40)</f>
        <v>-0.66666697749999992</v>
      </c>
      <c r="K39" s="8">
        <f>(1+C38)*(1+C40)</f>
        <v>0.66666697749999992</v>
      </c>
      <c r="L39" s="9">
        <f>(1-C38)*(1+C40)</f>
        <v>2.4880330225000002</v>
      </c>
      <c r="N39">
        <v>-0.13333339550000001</v>
      </c>
      <c r="O39">
        <v>5.2440165112500008</v>
      </c>
      <c r="P39">
        <v>-0.2000000932499999</v>
      </c>
      <c r="R39" s="7">
        <f>$F$3*N39</f>
        <v>-1.6666674437500001E-2</v>
      </c>
      <c r="S39" s="8">
        <f t="shared" si="11"/>
        <v>0.6555020639062501</v>
      </c>
      <c r="T39" s="9">
        <f t="shared" si="12"/>
        <v>-2.5000011656249987E-2</v>
      </c>
    </row>
    <row r="40" spans="1:22" ht="15" thickBot="1" x14ac:dyDescent="0.35">
      <c r="C40">
        <v>0.57735000000000003</v>
      </c>
      <c r="E40" s="10">
        <f>-(1-C38)*(1-C39)</f>
        <v>-2.4880330225000002</v>
      </c>
      <c r="F40" s="11">
        <f>-(1+C38)*(1-C39)</f>
        <v>-0.66666697749999992</v>
      </c>
      <c r="G40" s="11">
        <f>-(1+C38)*(1+C39)</f>
        <v>-0.17863302249999999</v>
      </c>
      <c r="H40" s="11">
        <f>-(1-C38)*(1+C39)</f>
        <v>-0.66666697749999992</v>
      </c>
      <c r="I40" s="11">
        <f>(1-C38)*(1-C39)</f>
        <v>2.4880330225000002</v>
      </c>
      <c r="J40" s="11">
        <f>(1+C38)*(1-C39)</f>
        <v>0.66666697749999992</v>
      </c>
      <c r="K40" s="11">
        <f>(1+C38)*(1+C39)</f>
        <v>0.17863302249999999</v>
      </c>
      <c r="L40" s="12">
        <f>(1-C38)*(1+C39)</f>
        <v>0.66666697749999992</v>
      </c>
      <c r="N40">
        <v>0.13333339549999998</v>
      </c>
      <c r="O40">
        <v>0.33333348875000002</v>
      </c>
      <c r="P40">
        <v>3.9464100932499999</v>
      </c>
      <c r="R40" s="10">
        <f>$F$3*N40</f>
        <v>1.6666674437499997E-2</v>
      </c>
      <c r="S40" s="11">
        <f t="shared" si="11"/>
        <v>4.1666686093750002E-2</v>
      </c>
      <c r="T40" s="12">
        <f>$F$3*P40</f>
        <v>0.49330126165624999</v>
      </c>
    </row>
    <row r="41" spans="1:22" ht="15" thickBot="1" x14ac:dyDescent="0.35"/>
    <row r="42" spans="1:22" x14ac:dyDescent="0.3">
      <c r="A42">
        <v>8</v>
      </c>
      <c r="C42">
        <v>-0.57735000000000003</v>
      </c>
      <c r="E42" s="4">
        <f>-(1-C43)*(1-C44)</f>
        <v>-2.4880330225000002</v>
      </c>
      <c r="F42" s="5">
        <f>(1-C43)*(1-C44)</f>
        <v>2.4880330225000002</v>
      </c>
      <c r="G42" s="5">
        <f>(1+C43)*(1-C44)</f>
        <v>0.66666697749999992</v>
      </c>
      <c r="H42" s="5">
        <f>-(1+C43)*(1-C44)</f>
        <v>-0.66666697749999992</v>
      </c>
      <c r="I42" s="5">
        <f>-(1-C43)*(1+C44)</f>
        <v>-0.66666697749999992</v>
      </c>
      <c r="J42" s="5">
        <f>(1-C43)*(1+C44)</f>
        <v>0.66666697749999992</v>
      </c>
      <c r="K42" s="5">
        <f>(1+C43)*(1+C44)</f>
        <v>0.17863302249999999</v>
      </c>
      <c r="L42" s="6">
        <f>-(1+C43)*(1+C45)</f>
        <v>-0.42264999999999997</v>
      </c>
      <c r="N42">
        <f t="array" ref="N42:P44">MMULT(E42:L44,$B$3:$D$10)</f>
        <v>4.1333333955000002</v>
      </c>
      <c r="O42">
        <v>-0.45534197749999994</v>
      </c>
      <c r="P42">
        <v>-0.29760688424999998</v>
      </c>
      <c r="R42" s="4">
        <f>$F$3*N42</f>
        <v>0.51666667443750003</v>
      </c>
      <c r="S42" s="5">
        <f>$F$3*O42</f>
        <v>-5.6917747187499992E-2</v>
      </c>
      <c r="T42" s="6">
        <f t="shared" ref="T42:T43" si="13">$F$3*P42</f>
        <v>-3.7200860531249998E-2</v>
      </c>
      <c r="V42">
        <f>MDETERM(R42:T44)</f>
        <v>0.13842378368399247</v>
      </c>
    </row>
    <row r="43" spans="1:22" x14ac:dyDescent="0.3">
      <c r="C43">
        <v>-0.57735000000000003</v>
      </c>
      <c r="E43" s="7">
        <f>-(1-C42)*(1-C44)</f>
        <v>-2.4880330225000002</v>
      </c>
      <c r="F43" s="8">
        <f>-(1+C42)*(1-C44)</f>
        <v>-0.66666697749999992</v>
      </c>
      <c r="G43" s="8">
        <f>(1+C42)*(1-C44)</f>
        <v>0.66666697749999992</v>
      </c>
      <c r="H43" s="8">
        <f>(1-C42)*(1-C44)</f>
        <v>2.4880330225000002</v>
      </c>
      <c r="I43" s="8">
        <f>-(1-C42)*(1+C44)</f>
        <v>-0.66666697749999992</v>
      </c>
      <c r="J43" s="8">
        <f>-(1+C42)*(1+C44)</f>
        <v>-0.17863302249999999</v>
      </c>
      <c r="K43" s="8">
        <f>(1+C42)*(1+C44)</f>
        <v>0.17863302249999999</v>
      </c>
      <c r="L43" s="9">
        <f>(1-C42)*(1+C44)</f>
        <v>0.66666697749999992</v>
      </c>
      <c r="N43">
        <v>-3.5726604499999981E-2</v>
      </c>
      <c r="O43">
        <v>4.3333334887500001</v>
      </c>
      <c r="P43">
        <v>-5.3589906749999972E-2</v>
      </c>
      <c r="R43" s="7">
        <f>$F$3*N43</f>
        <v>-4.4658255624999976E-3</v>
      </c>
      <c r="S43" s="8">
        <f t="shared" ref="S43:S44" si="14">$F$3*O43</f>
        <v>0.54166668609375002</v>
      </c>
      <c r="T43" s="9">
        <f t="shared" si="13"/>
        <v>-6.6987383437499964E-3</v>
      </c>
    </row>
    <row r="44" spans="1:22" ht="15" thickBot="1" x14ac:dyDescent="0.35">
      <c r="C44">
        <v>-0.57735000000000003</v>
      </c>
      <c r="E44" s="10">
        <f>-(1-C42)*(1-C43)</f>
        <v>-2.4880330225000002</v>
      </c>
      <c r="F44" s="11">
        <f>-(1+C42)*(1-C43)</f>
        <v>-0.66666697749999992</v>
      </c>
      <c r="G44" s="11">
        <f>-(1+C42)*(1+C43)</f>
        <v>-0.17863302249999999</v>
      </c>
      <c r="H44" s="11">
        <f>-(1-C42)*(1+C43)</f>
        <v>-0.66666697749999992</v>
      </c>
      <c r="I44" s="11">
        <f>(1-C42)*(1-C43)</f>
        <v>2.4880330225000002</v>
      </c>
      <c r="J44" s="11">
        <f>(1+C42)*(1-C43)</f>
        <v>0.66666697749999992</v>
      </c>
      <c r="K44" s="11">
        <f>(1+C42)*(1+C43)</f>
        <v>0.17863302249999999</v>
      </c>
      <c r="L44" s="12">
        <f>(1-C42)*(1+C43)</f>
        <v>0.66666697749999992</v>
      </c>
      <c r="N44">
        <v>0.13333339549999998</v>
      </c>
      <c r="O44">
        <v>0.33333348875000002</v>
      </c>
      <c r="P44">
        <v>3.9464100932499999</v>
      </c>
      <c r="R44" s="10">
        <f>$F$3*N44</f>
        <v>1.6666674437499997E-2</v>
      </c>
      <c r="S44" s="11">
        <f t="shared" si="14"/>
        <v>4.1666686093750002E-2</v>
      </c>
      <c r="T44" s="12">
        <f>$F$3*P44</f>
        <v>0.49330126165624999</v>
      </c>
    </row>
    <row r="45" spans="1:22" x14ac:dyDescent="0.3">
      <c r="V45">
        <f>SUM(V14:V44)</f>
        <v>1.1068055509254342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"/>
  <sheetViews>
    <sheetView workbookViewId="0">
      <selection activeCell="P16" sqref="P16"/>
    </sheetView>
  </sheetViews>
  <sheetFormatPr defaultRowHeight="14.4" x14ac:dyDescent="0.3"/>
  <cols>
    <col min="16" max="16" width="16.5546875" customWidth="1"/>
    <col min="18" max="18" width="11.44140625" bestFit="1" customWidth="1"/>
  </cols>
  <sheetData>
    <row r="1" spans="1:6" x14ac:dyDescent="0.3">
      <c r="F1" t="s">
        <v>39</v>
      </c>
    </row>
    <row r="2" spans="1:6" x14ac:dyDescent="0.3">
      <c r="B2" t="s">
        <v>28</v>
      </c>
      <c r="C2" t="s">
        <v>29</v>
      </c>
      <c r="D2" t="s">
        <v>30</v>
      </c>
      <c r="F2" t="s">
        <v>38</v>
      </c>
    </row>
    <row r="3" spans="1:6" x14ac:dyDescent="0.3">
      <c r="A3">
        <v>1</v>
      </c>
      <c r="B3">
        <v>0</v>
      </c>
      <c r="C3">
        <v>0</v>
      </c>
      <c r="D3">
        <v>0</v>
      </c>
    </row>
    <row r="4" spans="1:6" x14ac:dyDescent="0.3">
      <c r="A4">
        <v>2</v>
      </c>
      <c r="B4">
        <v>1</v>
      </c>
      <c r="C4">
        <v>0</v>
      </c>
      <c r="D4">
        <v>0</v>
      </c>
    </row>
    <row r="5" spans="1:6" x14ac:dyDescent="0.3">
      <c r="A5">
        <v>3</v>
      </c>
      <c r="B5">
        <v>1</v>
      </c>
      <c r="C5">
        <v>1</v>
      </c>
      <c r="D5">
        <v>0</v>
      </c>
    </row>
    <row r="6" spans="1:6" x14ac:dyDescent="0.3">
      <c r="A6">
        <v>4</v>
      </c>
      <c r="B6">
        <v>0</v>
      </c>
      <c r="C6">
        <v>0</v>
      </c>
      <c r="D6">
        <v>1</v>
      </c>
    </row>
    <row r="7" spans="1:6" x14ac:dyDescent="0.3">
      <c r="A7">
        <v>5</v>
      </c>
      <c r="B7">
        <v>1.2</v>
      </c>
      <c r="C7">
        <v>0</v>
      </c>
      <c r="D7">
        <v>1</v>
      </c>
    </row>
    <row r="8" spans="1:6" x14ac:dyDescent="0.3">
      <c r="A8">
        <v>6</v>
      </c>
      <c r="B8">
        <v>1</v>
      </c>
      <c r="C8">
        <v>1</v>
      </c>
      <c r="D8">
        <v>0.7</v>
      </c>
    </row>
    <row r="11" spans="1:6" x14ac:dyDescent="0.3">
      <c r="E11" t="s">
        <v>15</v>
      </c>
    </row>
    <row r="20" spans="1:18" x14ac:dyDescent="0.3">
      <c r="H20" t="s">
        <v>41</v>
      </c>
    </row>
    <row r="22" spans="1:18" s="14" customFormat="1" x14ac:dyDescent="0.3"/>
    <row r="23" spans="1:18" s="14" customFormat="1" x14ac:dyDescent="0.3">
      <c r="C23" s="14" t="s">
        <v>16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25</v>
      </c>
      <c r="R23" s="14" t="s">
        <v>43</v>
      </c>
    </row>
    <row r="24" spans="1:18" s="14" customFormat="1" x14ac:dyDescent="0.3">
      <c r="A24" s="16">
        <v>1</v>
      </c>
      <c r="B24" s="15" t="s">
        <v>17</v>
      </c>
      <c r="C24" s="14">
        <f>1/3</f>
        <v>0.33333333333333331</v>
      </c>
      <c r="E24" s="14">
        <f>-(1-C26)/2</f>
        <v>-0.21129999999999999</v>
      </c>
      <c r="F24" s="14">
        <f>(1-C26)/2</f>
        <v>0.21129999999999999</v>
      </c>
      <c r="G24" s="14">
        <v>0</v>
      </c>
      <c r="H24" s="14">
        <f>-(1+C26)/2</f>
        <v>-0.78869999999999996</v>
      </c>
      <c r="I24" s="14">
        <f>(1+C26)/2</f>
        <v>0.78869999999999996</v>
      </c>
      <c r="J24" s="14">
        <v>0</v>
      </c>
      <c r="L24" s="14">
        <f t="array" ref="L24:N26">MMULT(E24:J26,$B$3:$D$8)</f>
        <v>1.15774</v>
      </c>
      <c r="M24" s="14">
        <v>0</v>
      </c>
      <c r="N24" s="14">
        <v>0</v>
      </c>
      <c r="P24" s="14">
        <f>MDETERM(L24:N26)</f>
        <v>0.52098299999999997</v>
      </c>
      <c r="R24" s="14">
        <f>0.5*P24</f>
        <v>0.26049149999999999</v>
      </c>
    </row>
    <row r="25" spans="1:18" s="14" customFormat="1" x14ac:dyDescent="0.3">
      <c r="B25" s="15" t="s">
        <v>18</v>
      </c>
      <c r="C25" s="14">
        <f>1/3</f>
        <v>0.33333333333333331</v>
      </c>
      <c r="E25" s="14">
        <f>-(1-C26)/2</f>
        <v>-0.21129999999999999</v>
      </c>
      <c r="F25" s="14">
        <v>0</v>
      </c>
      <c r="G25" s="14">
        <f>(1-C26)/2</f>
        <v>0.21129999999999999</v>
      </c>
      <c r="H25" s="14">
        <f>-(1+C26)/2</f>
        <v>-0.78869999999999996</v>
      </c>
      <c r="I25" s="14">
        <v>0</v>
      </c>
      <c r="J25" s="14">
        <f>(1+C26)/2</f>
        <v>0.78869999999999996</v>
      </c>
      <c r="L25" s="14">
        <v>1</v>
      </c>
      <c r="M25" s="14">
        <v>1</v>
      </c>
      <c r="N25" s="14">
        <v>-0.23660999999999999</v>
      </c>
    </row>
    <row r="26" spans="1:18" s="14" customFormat="1" x14ac:dyDescent="0.3">
      <c r="B26" s="15" t="s">
        <v>19</v>
      </c>
      <c r="C26" s="14">
        <v>0.57740000000000002</v>
      </c>
      <c r="E26" s="14">
        <f>-0.5*(1-C24-C25)</f>
        <v>-0.16666666666666671</v>
      </c>
      <c r="F26" s="14">
        <f>-0.5*C24</f>
        <v>-0.16666666666666666</v>
      </c>
      <c r="G26" s="14">
        <f>-0.5*C25</f>
        <v>-0.16666666666666666</v>
      </c>
      <c r="H26" s="14">
        <f>0.5*(1-C24-C25)</f>
        <v>0.16666666666666671</v>
      </c>
      <c r="I26" s="14">
        <f>0.5*C24</f>
        <v>0.16666666666666666</v>
      </c>
      <c r="J26" s="14">
        <f>0.5*C25</f>
        <v>0.16666666666666666</v>
      </c>
      <c r="L26" s="14">
        <v>3.3333333333333326E-2</v>
      </c>
      <c r="M26" s="14">
        <v>0</v>
      </c>
      <c r="N26" s="14">
        <v>0.45</v>
      </c>
    </row>
    <row r="27" spans="1:18" s="14" customFormat="1" x14ac:dyDescent="0.3"/>
    <row r="28" spans="1:18" s="14" customFormat="1" x14ac:dyDescent="0.3">
      <c r="A28" s="16">
        <v>2</v>
      </c>
      <c r="B28" s="15" t="s">
        <v>17</v>
      </c>
      <c r="C28" s="14">
        <f>1/3</f>
        <v>0.33333333333333331</v>
      </c>
      <c r="E28" s="14">
        <f>-(1-C30)/2</f>
        <v>-0.78867500000000001</v>
      </c>
      <c r="F28" s="14">
        <f>(1-C30)/2</f>
        <v>0.78867500000000001</v>
      </c>
      <c r="G28" s="14">
        <v>0</v>
      </c>
      <c r="H28" s="14">
        <f>-(1+C30)/2</f>
        <v>-0.21132499999999999</v>
      </c>
      <c r="I28" s="14">
        <f>(1+C30)/2</f>
        <v>0.21132499999999999</v>
      </c>
      <c r="J28" s="14">
        <v>0</v>
      </c>
      <c r="L28" s="14">
        <f t="array" ref="L28:N30">MMULT(E28:J30,$B$3:$D$8)</f>
        <v>1.042265</v>
      </c>
      <c r="M28" s="14">
        <v>0</v>
      </c>
      <c r="N28" s="14">
        <v>0</v>
      </c>
      <c r="P28" s="14">
        <f>MDETERM(L28:N30)</f>
        <v>0.46901925</v>
      </c>
      <c r="R28" s="14">
        <f>P28*0.5</f>
        <v>0.234509625</v>
      </c>
    </row>
    <row r="29" spans="1:18" s="14" customFormat="1" x14ac:dyDescent="0.3">
      <c r="B29" s="15" t="s">
        <v>18</v>
      </c>
      <c r="C29" s="14">
        <f>1/3</f>
        <v>0.33333333333333331</v>
      </c>
      <c r="E29" s="14">
        <f>-(1-C30)/2</f>
        <v>-0.78867500000000001</v>
      </c>
      <c r="F29" s="14">
        <v>0</v>
      </c>
      <c r="G29" s="14">
        <f>(1-C30)/2</f>
        <v>0.78867500000000001</v>
      </c>
      <c r="H29" s="14">
        <f>-(1+C30)/2</f>
        <v>-0.21132499999999999</v>
      </c>
      <c r="I29" s="14">
        <v>0</v>
      </c>
      <c r="J29" s="14">
        <f>(1+C30)/2</f>
        <v>0.21132499999999999</v>
      </c>
      <c r="L29" s="14">
        <v>1</v>
      </c>
      <c r="M29" s="14">
        <v>1</v>
      </c>
      <c r="N29" s="14">
        <v>-6.3397499999999996E-2</v>
      </c>
    </row>
    <row r="30" spans="1:18" s="14" customFormat="1" x14ac:dyDescent="0.3">
      <c r="B30" s="15" t="s">
        <v>19</v>
      </c>
      <c r="C30" s="14">
        <v>-0.57735000000000003</v>
      </c>
      <c r="E30" s="14">
        <f>-0.5*(1-C28-C29)</f>
        <v>-0.16666666666666671</v>
      </c>
      <c r="F30" s="14">
        <f>-0.5*C28</f>
        <v>-0.16666666666666666</v>
      </c>
      <c r="G30" s="14">
        <f>-0.5*C29</f>
        <v>-0.16666666666666666</v>
      </c>
      <c r="H30" s="14">
        <f>0.5*(1-C28-C29)</f>
        <v>0.16666666666666671</v>
      </c>
      <c r="I30" s="14">
        <f>0.5*C28</f>
        <v>0.16666666666666666</v>
      </c>
      <c r="J30" s="14">
        <f>0.5*C29</f>
        <v>0.16666666666666666</v>
      </c>
      <c r="L30" s="14">
        <v>3.3333333333333326E-2</v>
      </c>
      <c r="M30" s="14">
        <v>0</v>
      </c>
      <c r="N30" s="14">
        <v>0.45</v>
      </c>
    </row>
    <row r="31" spans="1:18" s="14" customFormat="1" x14ac:dyDescent="0.3">
      <c r="R31" s="14">
        <f>SUM(R24:R30)</f>
        <v>0.49500112499999999</v>
      </c>
    </row>
    <row r="32" spans="1:18" s="14" customFormat="1" x14ac:dyDescent="0.3"/>
    <row r="33" spans="1:19" s="14" customFormat="1" x14ac:dyDescent="0.3"/>
    <row r="34" spans="1:19" s="14" customFormat="1" x14ac:dyDescent="0.3">
      <c r="Q34" s="14">
        <f>(R31-0.506667)/0.506667</f>
        <v>-2.3024738141619629E-2</v>
      </c>
      <c r="R34" s="14">
        <f>Q34*100</f>
        <v>-2.3024738141619627</v>
      </c>
      <c r="S34" s="14" t="s">
        <v>44</v>
      </c>
    </row>
    <row r="35" spans="1:19" s="14" customFormat="1" x14ac:dyDescent="0.3"/>
    <row r="36" spans="1:19" s="14" customFormat="1" x14ac:dyDescent="0.3">
      <c r="P36" s="14" t="s">
        <v>45</v>
      </c>
    </row>
    <row r="37" spans="1:19" s="14" customFormat="1" x14ac:dyDescent="0.3"/>
    <row r="38" spans="1:19" s="14" customFormat="1" x14ac:dyDescent="0.3">
      <c r="A38" s="16" t="s">
        <v>46</v>
      </c>
      <c r="B38" s="15" t="s">
        <v>17</v>
      </c>
      <c r="C38" s="14">
        <f>1/3</f>
        <v>0.33333333333333331</v>
      </c>
      <c r="E38" s="14">
        <f>-(1-C40)/2</f>
        <v>-0.5</v>
      </c>
      <c r="F38" s="14">
        <f>(1-C40)/2</f>
        <v>0.5</v>
      </c>
      <c r="G38" s="14">
        <v>0</v>
      </c>
      <c r="H38" s="14">
        <f>-(1+C40)/2</f>
        <v>-0.5</v>
      </c>
      <c r="I38" s="14">
        <f>(1+C40)/2</f>
        <v>0.5</v>
      </c>
      <c r="J38" s="14">
        <v>0</v>
      </c>
      <c r="L38" s="14">
        <f t="array" ref="L38:N40">MMULT(E38:J40,$B$3:$D$8)</f>
        <v>1.1000000000000001</v>
      </c>
      <c r="M38" s="14">
        <v>0</v>
      </c>
      <c r="N38" s="14">
        <v>0</v>
      </c>
      <c r="P38" s="14">
        <f>MDETERM(L38:N40)</f>
        <v>0.49500000000000005</v>
      </c>
      <c r="R38" s="14">
        <f>P38</f>
        <v>0.49500000000000005</v>
      </c>
    </row>
    <row r="39" spans="1:19" s="14" customFormat="1" x14ac:dyDescent="0.3">
      <c r="B39" s="15" t="s">
        <v>18</v>
      </c>
      <c r="C39" s="14">
        <f>1/3</f>
        <v>0.33333333333333331</v>
      </c>
      <c r="E39" s="14">
        <f>-(1-C40)/2</f>
        <v>-0.5</v>
      </c>
      <c r="F39" s="14">
        <v>0</v>
      </c>
      <c r="G39" s="14">
        <f>(1-C40)/2</f>
        <v>0.5</v>
      </c>
      <c r="H39" s="14">
        <f>-(1+C40)/2</f>
        <v>-0.5</v>
      </c>
      <c r="I39" s="14">
        <v>0</v>
      </c>
      <c r="J39" s="14">
        <f>(1+C40)/2</f>
        <v>0.5</v>
      </c>
      <c r="L39" s="14">
        <v>1</v>
      </c>
      <c r="M39" s="14">
        <v>1</v>
      </c>
      <c r="N39" s="14">
        <v>-0.15000000000000002</v>
      </c>
    </row>
    <row r="40" spans="1:19" s="14" customFormat="1" x14ac:dyDescent="0.3">
      <c r="B40" s="15" t="s">
        <v>19</v>
      </c>
      <c r="C40" s="14">
        <v>0</v>
      </c>
      <c r="E40" s="14">
        <f>-0.5*(1-C38-C39)</f>
        <v>-0.16666666666666671</v>
      </c>
      <c r="F40" s="14">
        <f>-0.5*C38</f>
        <v>-0.16666666666666666</v>
      </c>
      <c r="G40" s="14">
        <f>-0.5*C39</f>
        <v>-0.16666666666666666</v>
      </c>
      <c r="H40" s="14">
        <f>0.5*(1-C38-C39)</f>
        <v>0.16666666666666671</v>
      </c>
      <c r="I40" s="14">
        <f>0.5*C38</f>
        <v>0.16666666666666666</v>
      </c>
      <c r="J40" s="14">
        <f>0.5*C39</f>
        <v>0.16666666666666666</v>
      </c>
      <c r="L40" s="14">
        <v>3.3333333333333326E-2</v>
      </c>
      <c r="M40" s="14">
        <v>0</v>
      </c>
      <c r="N40" s="14">
        <v>0.45</v>
      </c>
    </row>
    <row r="41" spans="1:19" s="14" customFormat="1" x14ac:dyDescent="0.3"/>
    <row r="42" spans="1:19" s="14" customFormat="1" x14ac:dyDescent="0.3"/>
    <row r="43" spans="1:19" s="14" customFormat="1" x14ac:dyDescent="0.3"/>
    <row r="44" spans="1:19" s="14" customFormat="1" x14ac:dyDescent="0.3"/>
    <row r="45" spans="1:19" s="14" customFormat="1" x14ac:dyDescent="0.3"/>
    <row r="46" spans="1:19" s="14" customFormat="1" x14ac:dyDescent="0.3"/>
    <row r="47" spans="1:19" s="14" customFormat="1" x14ac:dyDescent="0.3"/>
    <row r="48" spans="1:19" s="14" customFormat="1" x14ac:dyDescent="0.3"/>
    <row r="49" s="14" customFormat="1" x14ac:dyDescent="0.3"/>
    <row r="50" s="14" customFormat="1" x14ac:dyDescent="0.3"/>
    <row r="51" s="14" customFormat="1" x14ac:dyDescent="0.3"/>
    <row r="52" s="14" customFormat="1" x14ac:dyDescent="0.3"/>
    <row r="53" s="14" customFormat="1" x14ac:dyDescent="0.3"/>
    <row r="54" s="14" customFormat="1" x14ac:dyDescent="0.3"/>
    <row r="55" s="14" customFormat="1" x14ac:dyDescent="0.3"/>
  </sheetData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S43"/>
  <sheetViews>
    <sheetView topLeftCell="A16" workbookViewId="0">
      <selection activeCell="K36" sqref="K36"/>
    </sheetView>
  </sheetViews>
  <sheetFormatPr defaultRowHeight="14.4" x14ac:dyDescent="0.3"/>
  <sheetData>
    <row r="3" spans="2:19" x14ac:dyDescent="0.3">
      <c r="B3" t="s">
        <v>33</v>
      </c>
      <c r="D3" t="s">
        <v>34</v>
      </c>
      <c r="O3">
        <v>-1</v>
      </c>
      <c r="P3">
        <v>-1</v>
      </c>
      <c r="Q3">
        <v>1</v>
      </c>
      <c r="S3">
        <f>MDETERM(O3:Q5)</f>
        <v>0.84</v>
      </c>
    </row>
    <row r="4" spans="2:19" x14ac:dyDescent="0.3">
      <c r="O4">
        <v>0.2</v>
      </c>
      <c r="P4">
        <v>-1</v>
      </c>
      <c r="Q4">
        <v>1</v>
      </c>
    </row>
    <row r="5" spans="2:19" x14ac:dyDescent="0.3">
      <c r="O5">
        <v>0</v>
      </c>
      <c r="P5">
        <v>0</v>
      </c>
      <c r="Q5">
        <v>0.7</v>
      </c>
    </row>
    <row r="7" spans="2:19" x14ac:dyDescent="0.3">
      <c r="B7" t="s">
        <v>36</v>
      </c>
    </row>
    <row r="8" spans="2:19" x14ac:dyDescent="0.3">
      <c r="B8" t="s">
        <v>37</v>
      </c>
    </row>
    <row r="34" spans="2:13" x14ac:dyDescent="0.3">
      <c r="B34" t="s">
        <v>40</v>
      </c>
    </row>
    <row r="43" spans="2:13" x14ac:dyDescent="0.3">
      <c r="M43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план</vt:lpstr>
      <vt:lpstr>разбиение</vt:lpstr>
      <vt:lpstr>V гексы</vt:lpstr>
      <vt:lpstr>!V гексы через якобиан</vt:lpstr>
      <vt:lpstr>!V пенты через якобиан</vt:lpstr>
      <vt:lpstr>!V тэтраэдра через Якобиан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2024-07-01T08:06:27Z</dcterms:modified>
</cp:coreProperties>
</file>