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катерина\Desktop\"/>
    </mc:Choice>
  </mc:AlternateContent>
  <bookViews>
    <workbookView xWindow="0" yWindow="0" windowWidth="24072" windowHeight="12432"/>
  </bookViews>
  <sheets>
    <sheet name="площадь квадрата" sheetId="4" r:id="rId1"/>
  </sheets>
  <definedNames>
    <definedName name="solver_adj" localSheetId="0" hidden="1">'площадь квадрата'!#REF!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'площадь квадрата'!#REF!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1000</definedName>
    <definedName name="solver_ver" localSheetId="0" hidden="1">3</definedName>
  </definedNames>
  <calcPr calcId="152511"/>
</workbook>
</file>

<file path=xl/calcChain.xml><?xml version="1.0" encoding="utf-8"?>
<calcChain xmlns="http://schemas.openxmlformats.org/spreadsheetml/2006/main">
  <c r="I81" i="4" l="1" a="1"/>
  <c r="I81" i="4" s="1"/>
  <c r="I136" i="4"/>
  <c r="N134" i="4"/>
  <c r="N132" i="4"/>
  <c r="I132" i="4"/>
  <c r="N130" i="4"/>
  <c r="N129" i="4"/>
  <c r="N128" i="4"/>
  <c r="B61" i="4"/>
  <c r="C50" i="4"/>
  <c r="E13" i="4"/>
  <c r="J83" i="4" l="1"/>
  <c r="I82" i="4"/>
  <c r="I83" i="4"/>
  <c r="K81" i="4"/>
  <c r="K82" i="4"/>
  <c r="J81" i="4"/>
  <c r="K83" i="4"/>
  <c r="J82" i="4"/>
  <c r="I122" i="4"/>
  <c r="J122" i="4"/>
  <c r="K122" i="4"/>
  <c r="I123" i="4"/>
  <c r="J123" i="4"/>
  <c r="K123" i="4"/>
  <c r="I124" i="4"/>
  <c r="J124" i="4"/>
  <c r="K124" i="4"/>
  <c r="J121" i="4"/>
  <c r="K121" i="4"/>
  <c r="I121" i="4"/>
  <c r="H104" i="4"/>
  <c r="I104" i="4" s="1"/>
  <c r="I128" i="4" l="1"/>
  <c r="I130" i="4"/>
  <c r="I129" i="4"/>
  <c r="B62" i="4"/>
  <c r="B49" i="4"/>
  <c r="D50" i="4"/>
  <c r="B50" i="4"/>
  <c r="C49" i="4"/>
  <c r="D49" i="4"/>
  <c r="I49" i="4" s="1"/>
  <c r="D64" i="4"/>
  <c r="D62" i="4"/>
  <c r="D63" i="4"/>
  <c r="C62" i="4"/>
  <c r="C63" i="4"/>
  <c r="C64" i="4"/>
  <c r="B63" i="4"/>
  <c r="B64" i="4"/>
  <c r="C61" i="4"/>
  <c r="D61" i="4"/>
  <c r="H49" i="4" l="1"/>
  <c r="B51" i="4"/>
  <c r="G50" i="4" s="1"/>
  <c r="D51" i="4"/>
  <c r="C51" i="4"/>
  <c r="I134" i="4"/>
  <c r="U71" i="4" a="1"/>
  <c r="U71" i="4" s="1"/>
  <c r="R71" i="4" a="1"/>
  <c r="R71" i="4" s="1"/>
  <c r="G49" i="4"/>
  <c r="T71" i="4" a="1"/>
  <c r="T71" i="4" s="1"/>
  <c r="S71" i="4" a="1"/>
  <c r="S71" i="4" s="1"/>
  <c r="M71" i="4" l="1" a="1"/>
  <c r="R73" i="4"/>
  <c r="R72" i="4"/>
  <c r="U72" i="4"/>
  <c r="U73" i="4"/>
  <c r="T73" i="4"/>
  <c r="T72" i="4"/>
  <c r="S72" i="4"/>
  <c r="S73" i="4"/>
  <c r="H50" i="4"/>
  <c r="I50" i="4"/>
  <c r="M72" i="4" l="1"/>
  <c r="M71" i="4"/>
  <c r="M76" i="4" s="1"/>
  <c r="M73" i="4"/>
  <c r="G51" i="4"/>
  <c r="O71" i="4" a="1"/>
  <c r="O71" i="4" s="1"/>
  <c r="I51" i="4"/>
  <c r="H51" i="4"/>
  <c r="E11" i="4"/>
  <c r="H23" i="4"/>
  <c r="G23" i="4"/>
  <c r="F23" i="4"/>
  <c r="E23" i="4"/>
  <c r="H22" i="4"/>
  <c r="G22" i="4"/>
  <c r="F22" i="4"/>
  <c r="E22" i="4"/>
  <c r="H20" i="4"/>
  <c r="G20" i="4"/>
  <c r="F20" i="4"/>
  <c r="E20" i="4"/>
  <c r="H19" i="4"/>
  <c r="G19" i="4"/>
  <c r="F19" i="4"/>
  <c r="E19" i="4"/>
  <c r="H17" i="4"/>
  <c r="G17" i="4"/>
  <c r="F17" i="4"/>
  <c r="E17" i="4"/>
  <c r="H16" i="4"/>
  <c r="G16" i="4"/>
  <c r="F16" i="4"/>
  <c r="E16" i="4"/>
  <c r="H14" i="4"/>
  <c r="H13" i="4"/>
  <c r="G14" i="4"/>
  <c r="G13" i="4"/>
  <c r="F14" i="4"/>
  <c r="F13" i="4"/>
  <c r="E14" i="4"/>
  <c r="J13" i="4" l="1" a="1"/>
  <c r="J19" i="4" a="1"/>
  <c r="K20" i="4" s="1"/>
  <c r="N20" i="4" s="1"/>
  <c r="J22" i="4" a="1"/>
  <c r="K23" i="4" s="1"/>
  <c r="N23" i="4" s="1"/>
  <c r="J16" i="4" a="1"/>
  <c r="K17" i="4" s="1"/>
  <c r="N17" i="4" s="1"/>
  <c r="O72" i="4"/>
  <c r="O73" i="4"/>
  <c r="N71" i="4" a="1"/>
  <c r="N73" i="4" s="1"/>
  <c r="J19" i="4" l="1"/>
  <c r="M19" i="4" s="1"/>
  <c r="J13" i="4"/>
  <c r="M13" i="4" s="1"/>
  <c r="K14" i="4"/>
  <c r="N14" i="4" s="1"/>
  <c r="J14" i="4"/>
  <c r="M14" i="4" s="1"/>
  <c r="K13" i="4"/>
  <c r="N13" i="4" s="1"/>
  <c r="J23" i="4"/>
  <c r="M23" i="4" s="1"/>
  <c r="J20" i="4"/>
  <c r="M20" i="4" s="1"/>
  <c r="J22" i="4"/>
  <c r="M22" i="4" s="1"/>
  <c r="P22" i="4" s="1"/>
  <c r="K19" i="4"/>
  <c r="N19" i="4" s="1"/>
  <c r="K22" i="4"/>
  <c r="N22" i="4" s="1"/>
  <c r="J17" i="4"/>
  <c r="M17" i="4" s="1"/>
  <c r="K16" i="4"/>
  <c r="N16" i="4" s="1"/>
  <c r="J16" i="4"/>
  <c r="M16" i="4" s="1"/>
  <c r="O76" i="4"/>
  <c r="O78" i="4" s="1"/>
  <c r="N71" i="4"/>
  <c r="N72" i="4"/>
  <c r="I76" i="4" a="1"/>
  <c r="P13" i="4" l="1"/>
  <c r="O79" i="4"/>
  <c r="P19" i="4"/>
  <c r="P16" i="4"/>
  <c r="O80" i="4"/>
  <c r="N76" i="4"/>
  <c r="N80" i="4" s="1"/>
  <c r="I76" i="4"/>
  <c r="K76" i="4"/>
  <c r="J78" i="4"/>
  <c r="I77" i="4"/>
  <c r="I78" i="4"/>
  <c r="J77" i="4"/>
  <c r="J76" i="4"/>
  <c r="K77" i="4"/>
  <c r="K78" i="4"/>
  <c r="P25" i="4" l="1"/>
  <c r="N79" i="4"/>
  <c r="N78" i="4"/>
  <c r="M79" i="4" l="1"/>
  <c r="M80" i="4"/>
  <c r="M78" i="4"/>
  <c r="I85" i="4" l="1" a="1"/>
  <c r="I85" i="4" l="1"/>
  <c r="J87" i="4"/>
  <c r="I86" i="4"/>
  <c r="K85" i="4"/>
  <c r="I87" i="4"/>
  <c r="K87" i="4"/>
  <c r="K86" i="4"/>
  <c r="J86" i="4"/>
  <c r="J85" i="4"/>
  <c r="I90" i="4" l="1" a="1"/>
  <c r="K90" i="4" a="1"/>
  <c r="J90" i="4" a="1"/>
  <c r="L90" i="4" a="1"/>
  <c r="I90" i="4" l="1"/>
  <c r="I91" i="4"/>
  <c r="I92" i="4"/>
  <c r="K90" i="4"/>
  <c r="K92" i="4"/>
  <c r="K91" i="4"/>
  <c r="J91" i="4"/>
  <c r="J90" i="4"/>
  <c r="J92" i="4"/>
  <c r="L90" i="4"/>
  <c r="L92" i="4"/>
  <c r="L91" i="4"/>
</calcChain>
</file>

<file path=xl/sharedStrings.xml><?xml version="1.0" encoding="utf-8"?>
<sst xmlns="http://schemas.openxmlformats.org/spreadsheetml/2006/main" count="106" uniqueCount="85">
  <si>
    <t>ξ</t>
  </si>
  <si>
    <t>η</t>
  </si>
  <si>
    <t>x</t>
  </si>
  <si>
    <t>y</t>
  </si>
  <si>
    <t>z</t>
  </si>
  <si>
    <t>задача на плоскости</t>
  </si>
  <si>
    <t>точки интегрирования</t>
  </si>
  <si>
    <t xml:space="preserve"> </t>
  </si>
  <si>
    <t>производные функции формы в точках</t>
  </si>
  <si>
    <t>якобиан</t>
  </si>
  <si>
    <t>якобиан с 1/4</t>
  </si>
  <si>
    <t>определитель</t>
  </si>
  <si>
    <t>площадь</t>
  </si>
  <si>
    <t>координаты квадрата</t>
  </si>
  <si>
    <t>план действий</t>
  </si>
  <si>
    <t>x'</t>
  </si>
  <si>
    <t>y'</t>
  </si>
  <si>
    <t>z'</t>
  </si>
  <si>
    <t xml:space="preserve">  </t>
  </si>
  <si>
    <t>0x</t>
  </si>
  <si>
    <t>0y</t>
  </si>
  <si>
    <t>0z</t>
  </si>
  <si>
    <t>базис 1</t>
  </si>
  <si>
    <t>базис 2</t>
  </si>
  <si>
    <t>e1</t>
  </si>
  <si>
    <t>e2</t>
  </si>
  <si>
    <t>e3</t>
  </si>
  <si>
    <t>e1'</t>
  </si>
  <si>
    <t>e2'</t>
  </si>
  <si>
    <t>e3'</t>
  </si>
  <si>
    <t>F=</t>
  </si>
  <si>
    <t>G=</t>
  </si>
  <si>
    <t>F-1=</t>
  </si>
  <si>
    <t>P=</t>
  </si>
  <si>
    <t>Р-1=</t>
  </si>
  <si>
    <t>точка 1</t>
  </si>
  <si>
    <t>точка 2</t>
  </si>
  <si>
    <t>точка 3</t>
  </si>
  <si>
    <t>точка 4</t>
  </si>
  <si>
    <t>X'1=</t>
  </si>
  <si>
    <t>X'2=</t>
  </si>
  <si>
    <t>X'3=</t>
  </si>
  <si>
    <t>X'4=</t>
  </si>
  <si>
    <t>вектор нормали</t>
  </si>
  <si>
    <t>вектора для нахождения вектора нормали к плоскости</t>
  </si>
  <si>
    <t>длина вектора</t>
  </si>
  <si>
    <t>если совпадают, то все ок</t>
  </si>
  <si>
    <t>https://www.webmath.ru/web/prog7_2.php</t>
  </si>
  <si>
    <t>находили площадь нового четырехугольника, разбив его на два треугольника</t>
  </si>
  <si>
    <t>для новых</t>
  </si>
  <si>
    <t>менее 1%</t>
  </si>
  <si>
    <t>https://planetcalc.ru/218/</t>
  </si>
  <si>
    <t>первый треугольник 1-2-4</t>
  </si>
  <si>
    <t>второй треугольник 2-3-4</t>
  </si>
  <si>
    <t>длины</t>
  </si>
  <si>
    <t>1т-2т</t>
  </si>
  <si>
    <t>2т-4т</t>
  </si>
  <si>
    <t>4т-1т</t>
  </si>
  <si>
    <t>2т-3т</t>
  </si>
  <si>
    <t>3т-4т</t>
  </si>
  <si>
    <t>4т-2т</t>
  </si>
  <si>
    <t>a</t>
  </si>
  <si>
    <t>b</t>
  </si>
  <si>
    <t>c</t>
  </si>
  <si>
    <t>p</t>
  </si>
  <si>
    <t>S</t>
  </si>
  <si>
    <t>Sобщ</t>
  </si>
  <si>
    <t>найдем площадь квадрата на плоскости</t>
  </si>
  <si>
    <t>найти S сходя из новых коорлинат</t>
  </si>
  <si>
    <t>определить, как повернуть квадрат искривленный с постоянной толщиной в плоскость X0Y</t>
  </si>
  <si>
    <t>просто еще раз переписала, чтобы было перед глазами</t>
  </si>
  <si>
    <t>вершина</t>
  </si>
  <si>
    <t>пример, который разбран:</t>
  </si>
  <si>
    <t>наш случай:</t>
  </si>
  <si>
    <t>округлила до 4 знака</t>
  </si>
  <si>
    <t>для старых координ.</t>
  </si>
  <si>
    <t>проверка (проверяли тут):</t>
  </si>
  <si>
    <t>а почему бы сразу не искать площади через разбиение на треугольники по формуле Герона?</t>
  </si>
  <si>
    <t>новые коорлинаты фигуры, которая паралелльна плоскости X0Y</t>
  </si>
  <si>
    <t>разница</t>
  </si>
  <si>
    <t>найдем длины сторон по координатам вершин.</t>
  </si>
  <si>
    <t>(по старым координатам)</t>
  </si>
  <si>
    <t>базис с основанием в плоскости искривленного квадрата</t>
  </si>
  <si>
    <t>нормируем:</t>
  </si>
  <si>
    <t>G'=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</si>
</sst>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Border="1"/>
    <xf numFmtId="0" fontId="2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0" xfId="0" applyNumberFormat="1"/>
    <xf numFmtId="164" fontId="1" fillId="0" borderId="0" xfId="0" applyNumberFormat="1" applyFont="1"/>
    <xf numFmtId="164" fontId="0" fillId="0" borderId="1" xfId="0" applyNumberFormat="1" applyBorder="1"/>
    <xf numFmtId="164" fontId="0" fillId="0" borderId="5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8" xfId="0" applyNumberFormat="1" applyBorder="1"/>
    <xf numFmtId="164" fontId="0" fillId="0" borderId="4" xfId="0" applyNumberFormat="1" applyBorder="1"/>
    <xf numFmtId="14" fontId="0" fillId="0" borderId="0" xfId="0" applyNumberFormat="1"/>
    <xf numFmtId="0" fontId="0" fillId="2" borderId="0" xfId="0" applyFill="1"/>
    <xf numFmtId="0" fontId="0" fillId="0" borderId="0" xfId="0" applyFill="1"/>
    <xf numFmtId="0" fontId="3" fillId="0" borderId="0" xfId="0" applyFont="1"/>
    <xf numFmtId="0" fontId="0" fillId="2" borderId="3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2" xfId="0" applyFill="1" applyBorder="1"/>
    <xf numFmtId="0" fontId="0" fillId="2" borderId="7" xfId="0" applyFill="1" applyBorder="1"/>
    <xf numFmtId="164" fontId="0" fillId="2" borderId="0" xfId="0" applyNumberFormat="1" applyFill="1"/>
    <xf numFmtId="10" fontId="0" fillId="0" borderId="0" xfId="0" applyNumberFormat="1"/>
    <xf numFmtId="16" fontId="0" fillId="0" borderId="0" xfId="0" applyNumberFormat="1"/>
  </cellXfs>
  <cellStyles count="2">
    <cellStyle name="Гиперссылка" xfId="1" builtinId="8"/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129265</xdr:colOff>
      <xdr:row>7</xdr:row>
      <xdr:rowOff>0</xdr:rowOff>
    </xdr:from>
    <xdr:to>
      <xdr:col>32</xdr:col>
      <xdr:colOff>391203</xdr:colOff>
      <xdr:row>21</xdr:row>
      <xdr:rowOff>77657</xdr:rowOff>
    </xdr:to>
    <xdr:pic>
      <xdr:nvPicPr>
        <xdr:cNvPr id="6" name="Рисунок 5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59665" y="10950388"/>
          <a:ext cx="3309938" cy="28037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467301</xdr:colOff>
      <xdr:row>29</xdr:row>
      <xdr:rowOff>36307</xdr:rowOff>
    </xdr:to>
    <xdr:pic>
      <xdr:nvPicPr>
        <xdr:cNvPr id="9" name="Рисунок 8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1396960"/>
          <a:ext cx="4124901" cy="7678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152400</xdr:rowOff>
    </xdr:from>
    <xdr:to>
      <xdr:col>8</xdr:col>
      <xdr:colOff>30913</xdr:colOff>
      <xdr:row>58</xdr:row>
      <xdr:rowOff>98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55480"/>
          <a:ext cx="4991533" cy="11278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30480</xdr:rowOff>
    </xdr:from>
    <xdr:to>
      <xdr:col>5</xdr:col>
      <xdr:colOff>594360</xdr:colOff>
      <xdr:row>97</xdr:row>
      <xdr:rowOff>122425</xdr:rowOff>
    </xdr:to>
    <xdr:pic>
      <xdr:nvPicPr>
        <xdr:cNvPr id="7" name="Рисунок 6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176760"/>
          <a:ext cx="3726180" cy="58298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5</xdr:col>
      <xdr:colOff>601980</xdr:colOff>
      <xdr:row>128</xdr:row>
      <xdr:rowOff>46199</xdr:rowOff>
    </xdr:to>
    <xdr:pic>
      <xdr:nvPicPr>
        <xdr:cNvPr id="17" name="Рисунок 16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900600"/>
          <a:ext cx="3733800" cy="5532599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111</xdr:row>
      <xdr:rowOff>175260</xdr:rowOff>
    </xdr:from>
    <xdr:to>
      <xdr:col>17</xdr:col>
      <xdr:colOff>358715</xdr:colOff>
      <xdr:row>117</xdr:row>
      <xdr:rowOff>45804</xdr:rowOff>
    </xdr:to>
    <xdr:pic>
      <xdr:nvPicPr>
        <xdr:cNvPr id="18" name="Рисунок 17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2920" y="20619720"/>
          <a:ext cx="6629975" cy="967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ebmath.ru/web/prog7_2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36"/>
  <sheetViews>
    <sheetView tabSelected="1" topLeftCell="A88" workbookViewId="0">
      <selection activeCell="O85" sqref="O85"/>
    </sheetView>
  </sheetViews>
  <sheetFormatPr defaultRowHeight="14.4" x14ac:dyDescent="0.3"/>
  <cols>
    <col min="1" max="1" width="10.109375" bestFit="1" customWidth="1"/>
    <col min="9" max="9" width="9" bestFit="1" customWidth="1"/>
    <col min="10" max="11" width="9.109375" bestFit="1" customWidth="1"/>
    <col min="12" max="12" width="10.33203125" customWidth="1"/>
    <col min="22" max="22" width="12.6640625" bestFit="1" customWidth="1"/>
  </cols>
  <sheetData>
    <row r="2" spans="1:16" x14ac:dyDescent="0.3">
      <c r="A2" t="s">
        <v>5</v>
      </c>
    </row>
    <row r="3" spans="1:16" x14ac:dyDescent="0.3">
      <c r="A3" t="s">
        <v>13</v>
      </c>
    </row>
    <row r="4" spans="1:16" x14ac:dyDescent="0.3">
      <c r="B4" t="s">
        <v>2</v>
      </c>
      <c r="C4" t="s">
        <v>3</v>
      </c>
    </row>
    <row r="5" spans="1:16" x14ac:dyDescent="0.3">
      <c r="B5" s="20">
        <v>0</v>
      </c>
      <c r="C5" s="20">
        <v>0</v>
      </c>
    </row>
    <row r="6" spans="1:16" x14ac:dyDescent="0.3">
      <c r="B6" s="20">
        <v>15</v>
      </c>
      <c r="C6" s="20">
        <v>0</v>
      </c>
    </row>
    <row r="7" spans="1:16" x14ac:dyDescent="0.3">
      <c r="B7" s="20">
        <v>10</v>
      </c>
      <c r="C7" s="20">
        <v>5</v>
      </c>
    </row>
    <row r="8" spans="1:16" x14ac:dyDescent="0.3">
      <c r="B8" s="20">
        <v>5</v>
      </c>
      <c r="C8" s="20">
        <v>5</v>
      </c>
    </row>
    <row r="9" spans="1:16" x14ac:dyDescent="0.3">
      <c r="A9" t="s">
        <v>67</v>
      </c>
    </row>
    <row r="11" spans="1:16" x14ac:dyDescent="0.3">
      <c r="E11">
        <f>1/4</f>
        <v>0.25</v>
      </c>
    </row>
    <row r="12" spans="1:16" ht="15" thickBot="1" x14ac:dyDescent="0.35">
      <c r="C12" t="s">
        <v>6</v>
      </c>
      <c r="E12" t="s">
        <v>8</v>
      </c>
      <c r="J12" t="s">
        <v>9</v>
      </c>
      <c r="M12" t="s">
        <v>10</v>
      </c>
      <c r="P12" t="s">
        <v>11</v>
      </c>
    </row>
    <row r="13" spans="1:16" x14ac:dyDescent="0.3">
      <c r="B13" s="12" t="s">
        <v>0</v>
      </c>
      <c r="C13" s="11">
        <v>0.57740000000000002</v>
      </c>
      <c r="E13" s="13">
        <f>-(1-C14)</f>
        <v>-0.42259999999999998</v>
      </c>
      <c r="F13" s="14">
        <f>1-C14</f>
        <v>0.42259999999999998</v>
      </c>
      <c r="G13" s="14">
        <f>1+C14</f>
        <v>1.5773999999999999</v>
      </c>
      <c r="H13" s="15">
        <f>-(1+C14)</f>
        <v>-1.5773999999999999</v>
      </c>
      <c r="J13" s="3">
        <f t="array" ref="J13:K14">MMULT(E13:H14,$B$5:$C$8)</f>
        <v>14.225999999999999</v>
      </c>
      <c r="K13" s="4">
        <v>0</v>
      </c>
      <c r="M13" s="3">
        <f>J13*$E$11</f>
        <v>3.5564999999999998</v>
      </c>
      <c r="N13" s="4">
        <f>K13*$E$11</f>
        <v>0</v>
      </c>
      <c r="P13">
        <f>MDETERM(M13:N14)</f>
        <v>8.8912499999999994</v>
      </c>
    </row>
    <row r="14" spans="1:16" ht="15" thickBot="1" x14ac:dyDescent="0.35">
      <c r="B14" s="12" t="s">
        <v>1</v>
      </c>
      <c r="C14" s="11">
        <v>0.57740000000000002</v>
      </c>
      <c r="E14" s="16">
        <f>-(1-C13)</f>
        <v>-0.42259999999999998</v>
      </c>
      <c r="F14" s="17">
        <f>-(1+C13)</f>
        <v>-1.5773999999999999</v>
      </c>
      <c r="G14" s="17">
        <f>1+C13</f>
        <v>1.5773999999999999</v>
      </c>
      <c r="H14" s="18">
        <f>1-C13</f>
        <v>0.42259999999999998</v>
      </c>
      <c r="J14" s="5">
        <v>-5.7739999999999991</v>
      </c>
      <c r="K14" s="6">
        <v>10</v>
      </c>
      <c r="M14" s="5">
        <f>J14*$E$11</f>
        <v>-1.4434999999999998</v>
      </c>
      <c r="N14" s="6">
        <f>K14*$E$11</f>
        <v>2.5</v>
      </c>
    </row>
    <row r="15" spans="1:16" ht="15" thickBot="1" x14ac:dyDescent="0.35"/>
    <row r="16" spans="1:16" x14ac:dyDescent="0.3">
      <c r="B16" s="12" t="s">
        <v>0</v>
      </c>
      <c r="C16" s="11">
        <v>0.57740000000000002</v>
      </c>
      <c r="E16" s="13">
        <f>-(1-C17)</f>
        <v>-1.5773999999999999</v>
      </c>
      <c r="F16" s="14">
        <f>1-C17</f>
        <v>1.5773999999999999</v>
      </c>
      <c r="G16" s="14">
        <f>1+C17</f>
        <v>0.42259999999999998</v>
      </c>
      <c r="H16" s="15">
        <f>-(1+C17)</f>
        <v>-0.42259999999999998</v>
      </c>
      <c r="J16" s="3">
        <f t="array" ref="J16:K17">MMULT(E16:H17,$B$5:$C$8)</f>
        <v>25.773999999999997</v>
      </c>
      <c r="K16" s="4">
        <v>0</v>
      </c>
      <c r="M16" s="3">
        <f>J16*$E$11</f>
        <v>6.4434999999999993</v>
      </c>
      <c r="N16" s="4">
        <f>K16*$E$11</f>
        <v>0</v>
      </c>
      <c r="P16">
        <f>MDETERM(M16:N17)</f>
        <v>16.108749999999997</v>
      </c>
    </row>
    <row r="17" spans="2:16" ht="15" thickBot="1" x14ac:dyDescent="0.35">
      <c r="B17" s="12" t="s">
        <v>1</v>
      </c>
      <c r="C17" s="11">
        <v>-0.57740000000000002</v>
      </c>
      <c r="E17" s="16">
        <f>-(1-C16)</f>
        <v>-0.42259999999999998</v>
      </c>
      <c r="F17" s="17">
        <f>-(1+C16)</f>
        <v>-1.5773999999999999</v>
      </c>
      <c r="G17" s="17">
        <f>1+C16</f>
        <v>1.5773999999999999</v>
      </c>
      <c r="H17" s="18">
        <f>1-C16</f>
        <v>0.42259999999999998</v>
      </c>
      <c r="J17" s="5">
        <v>-5.7739999999999991</v>
      </c>
      <c r="K17" s="6">
        <v>10</v>
      </c>
      <c r="M17" s="5">
        <f>J17*$E$11</f>
        <v>-1.4434999999999998</v>
      </c>
      <c r="N17" s="6">
        <f>K17*$E$11</f>
        <v>2.5</v>
      </c>
    </row>
    <row r="18" spans="2:16" ht="15" thickBot="1" x14ac:dyDescent="0.35"/>
    <row r="19" spans="2:16" x14ac:dyDescent="0.3">
      <c r="B19" s="12" t="s">
        <v>0</v>
      </c>
      <c r="C19" s="11">
        <v>-0.57740000000000002</v>
      </c>
      <c r="E19" s="13">
        <f>-(1-C20)</f>
        <v>-0.42259999999999998</v>
      </c>
      <c r="F19" s="14">
        <f>1-C20</f>
        <v>0.42259999999999998</v>
      </c>
      <c r="G19" s="14">
        <f>1+C20</f>
        <v>1.5773999999999999</v>
      </c>
      <c r="H19" s="15">
        <f>-(1+C20)</f>
        <v>-1.5773999999999999</v>
      </c>
      <c r="J19" s="3">
        <f t="array" ref="J19:K20">MMULT(E19:H20,$B$5:$C$8)</f>
        <v>14.225999999999999</v>
      </c>
      <c r="K19" s="4">
        <v>0</v>
      </c>
      <c r="M19" s="3">
        <f>J19*$E$11</f>
        <v>3.5564999999999998</v>
      </c>
      <c r="N19" s="4">
        <f>K19*$E$11</f>
        <v>0</v>
      </c>
      <c r="P19">
        <f>MDETERM(M19:N20)</f>
        <v>8.8912499999999994</v>
      </c>
    </row>
    <row r="20" spans="2:16" ht="15" thickBot="1" x14ac:dyDescent="0.35">
      <c r="B20" s="12" t="s">
        <v>1</v>
      </c>
      <c r="C20" s="11">
        <v>0.57740000000000002</v>
      </c>
      <c r="E20" s="16">
        <f>-(1-C19)</f>
        <v>-1.5773999999999999</v>
      </c>
      <c r="F20" s="17">
        <f>-(1+C19)</f>
        <v>-0.42259999999999998</v>
      </c>
      <c r="G20" s="17">
        <f>1+C19</f>
        <v>0.42259999999999998</v>
      </c>
      <c r="H20" s="18">
        <f>1-C19</f>
        <v>1.5773999999999999</v>
      </c>
      <c r="J20" s="5">
        <v>5.774</v>
      </c>
      <c r="K20" s="6">
        <v>10</v>
      </c>
      <c r="M20" s="5">
        <f>J20*$E$11</f>
        <v>1.4435</v>
      </c>
      <c r="N20" s="6">
        <f>K20*$E$11</f>
        <v>2.5</v>
      </c>
    </row>
    <row r="21" spans="2:16" ht="15" thickBot="1" x14ac:dyDescent="0.35">
      <c r="K21" t="s">
        <v>7</v>
      </c>
    </row>
    <row r="22" spans="2:16" x14ac:dyDescent="0.3">
      <c r="B22" s="12" t="s">
        <v>0</v>
      </c>
      <c r="C22" s="11">
        <v>-0.57740000000000002</v>
      </c>
      <c r="E22" s="13">
        <f>-(1-C23)</f>
        <v>-1.5773999999999999</v>
      </c>
      <c r="F22" s="14">
        <f>1-C23</f>
        <v>1.5773999999999999</v>
      </c>
      <c r="G22" s="14">
        <f>1+C23</f>
        <v>0.42259999999999998</v>
      </c>
      <c r="H22" s="15">
        <f>-(1+C23)</f>
        <v>-0.42259999999999998</v>
      </c>
      <c r="J22" s="3">
        <f t="array" ref="J22:K23">MMULT(E22:H23,$B$5:$C$8)</f>
        <v>25.773999999999997</v>
      </c>
      <c r="K22" s="4">
        <v>0</v>
      </c>
      <c r="M22" s="3">
        <f>J22*$E$11</f>
        <v>6.4434999999999993</v>
      </c>
      <c r="N22" s="4">
        <f>K22*$E$11</f>
        <v>0</v>
      </c>
      <c r="P22">
        <f>MDETERM(M22:N23)</f>
        <v>16.108749999999997</v>
      </c>
    </row>
    <row r="23" spans="2:16" ht="15" thickBot="1" x14ac:dyDescent="0.35">
      <c r="B23" s="12" t="s">
        <v>1</v>
      </c>
      <c r="C23" s="11">
        <v>-0.57740000000000002</v>
      </c>
      <c r="E23" s="16">
        <f>-(1-C22)</f>
        <v>-1.5773999999999999</v>
      </c>
      <c r="F23" s="17">
        <f>-(1+C22)</f>
        <v>-0.42259999999999998</v>
      </c>
      <c r="G23" s="17">
        <f>1+C22</f>
        <v>0.42259999999999998</v>
      </c>
      <c r="H23" s="18">
        <f>1-C22</f>
        <v>1.5773999999999999</v>
      </c>
      <c r="J23" s="5">
        <v>5.774</v>
      </c>
      <c r="K23" s="6">
        <v>10</v>
      </c>
      <c r="M23" s="5">
        <f>J23*$E$11</f>
        <v>1.4435</v>
      </c>
      <c r="N23" s="6">
        <f>K23*$E$11</f>
        <v>2.5</v>
      </c>
    </row>
    <row r="25" spans="2:16" x14ac:dyDescent="0.3">
      <c r="O25" t="s">
        <v>12</v>
      </c>
      <c r="P25">
        <f>SUM(P13:P23)</f>
        <v>50</v>
      </c>
    </row>
    <row r="33" spans="1:12" x14ac:dyDescent="0.3">
      <c r="A33" s="19">
        <v>45474</v>
      </c>
    </row>
    <row r="35" spans="1:12" x14ac:dyDescent="0.3">
      <c r="A35" s="21" t="s">
        <v>14</v>
      </c>
    </row>
    <row r="36" spans="1:12" x14ac:dyDescent="0.3">
      <c r="A36" t="s">
        <v>69</v>
      </c>
    </row>
    <row r="37" spans="1:12" x14ac:dyDescent="0.3">
      <c r="A37" t="s">
        <v>68</v>
      </c>
    </row>
    <row r="40" spans="1:12" x14ac:dyDescent="0.3">
      <c r="B40" t="s">
        <v>2</v>
      </c>
      <c r="C40" t="s">
        <v>3</v>
      </c>
      <c r="D40" t="s">
        <v>4</v>
      </c>
    </row>
    <row r="41" spans="1:12" x14ac:dyDescent="0.3">
      <c r="A41">
        <v>1</v>
      </c>
      <c r="B41">
        <v>1</v>
      </c>
      <c r="C41">
        <v>0</v>
      </c>
      <c r="D41">
        <v>0</v>
      </c>
    </row>
    <row r="42" spans="1:12" x14ac:dyDescent="0.3">
      <c r="A42">
        <v>2</v>
      </c>
      <c r="B42">
        <v>5</v>
      </c>
      <c r="C42">
        <v>7</v>
      </c>
      <c r="D42">
        <v>0</v>
      </c>
    </row>
    <row r="43" spans="1:12" x14ac:dyDescent="0.3">
      <c r="A43">
        <v>3</v>
      </c>
      <c r="B43">
        <v>5</v>
      </c>
      <c r="C43">
        <v>7</v>
      </c>
      <c r="D43">
        <v>7</v>
      </c>
    </row>
    <row r="44" spans="1:12" x14ac:dyDescent="0.3">
      <c r="A44">
        <v>4</v>
      </c>
      <c r="B44">
        <v>1</v>
      </c>
      <c r="C44">
        <v>0</v>
      </c>
      <c r="D44">
        <v>10</v>
      </c>
    </row>
    <row r="45" spans="1:12" x14ac:dyDescent="0.3">
      <c r="B45" t="s">
        <v>18</v>
      </c>
    </row>
    <row r="46" spans="1:12" x14ac:dyDescent="0.3">
      <c r="L46" s="21"/>
    </row>
    <row r="47" spans="1:12" x14ac:dyDescent="0.3">
      <c r="A47" t="s">
        <v>44</v>
      </c>
      <c r="L47" s="21"/>
    </row>
    <row r="48" spans="1:12" ht="15" thickBot="1" x14ac:dyDescent="0.35">
      <c r="B48">
        <v>1</v>
      </c>
      <c r="C48">
        <v>1</v>
      </c>
      <c r="D48">
        <v>1</v>
      </c>
      <c r="G48" t="s">
        <v>82</v>
      </c>
    </row>
    <row r="49" spans="1:14" x14ac:dyDescent="0.3">
      <c r="A49" t="s">
        <v>19</v>
      </c>
      <c r="B49" s="3">
        <f>B42-B41</f>
        <v>4</v>
      </c>
      <c r="C49" s="7">
        <f>C42-C41</f>
        <v>7</v>
      </c>
      <c r="D49" s="4">
        <f>D42-D41</f>
        <v>0</v>
      </c>
      <c r="G49" s="24">
        <f>B49</f>
        <v>4</v>
      </c>
      <c r="H49" s="29">
        <f>C49</f>
        <v>7</v>
      </c>
      <c r="I49" s="30">
        <f>D49</f>
        <v>0</v>
      </c>
      <c r="J49" t="s">
        <v>15</v>
      </c>
    </row>
    <row r="50" spans="1:14" x14ac:dyDescent="0.3">
      <c r="A50" t="s">
        <v>20</v>
      </c>
      <c r="B50" s="8">
        <f>B44-B41</f>
        <v>0</v>
      </c>
      <c r="C50" s="1">
        <f>C44-C41</f>
        <v>0</v>
      </c>
      <c r="D50" s="9">
        <f>D44-D41</f>
        <v>10</v>
      </c>
      <c r="G50" s="25">
        <f>B51</f>
        <v>70</v>
      </c>
      <c r="H50" s="28">
        <f>C51</f>
        <v>-40</v>
      </c>
      <c r="I50" s="31">
        <f>D51</f>
        <v>0</v>
      </c>
      <c r="J50" s="1" t="s">
        <v>17</v>
      </c>
      <c r="N50" s="1"/>
    </row>
    <row r="51" spans="1:14" ht="15" thickBot="1" x14ac:dyDescent="0.35">
      <c r="A51" t="s">
        <v>21</v>
      </c>
      <c r="B51" s="5">
        <f>C49*D50-D49*C50</f>
        <v>70</v>
      </c>
      <c r="C51" s="10">
        <f>-B49*D50+D49*B50</f>
        <v>-40</v>
      </c>
      <c r="D51" s="6">
        <f>B49*C50-C49*B50</f>
        <v>0</v>
      </c>
      <c r="E51" t="s">
        <v>43</v>
      </c>
      <c r="G51" s="23">
        <f>-H49*I50+I49*H50</f>
        <v>0</v>
      </c>
      <c r="H51" s="26">
        <f>G49*I50-I49*G50</f>
        <v>0</v>
      </c>
      <c r="I51" s="27">
        <f>-G49*H50+H49*G50</f>
        <v>650</v>
      </c>
      <c r="J51" t="s">
        <v>16</v>
      </c>
    </row>
    <row r="52" spans="1:14" x14ac:dyDescent="0.3">
      <c r="L52" s="21"/>
    </row>
    <row r="53" spans="1:14" x14ac:dyDescent="0.3">
      <c r="L53" s="21"/>
    </row>
    <row r="54" spans="1:14" x14ac:dyDescent="0.3">
      <c r="L54" s="21"/>
    </row>
    <row r="55" spans="1:14" x14ac:dyDescent="0.3">
      <c r="L55" s="21"/>
    </row>
    <row r="56" spans="1:14" x14ac:dyDescent="0.3">
      <c r="L56" s="21"/>
    </row>
    <row r="57" spans="1:14" x14ac:dyDescent="0.3">
      <c r="L57" s="21"/>
    </row>
    <row r="58" spans="1:14" x14ac:dyDescent="0.3">
      <c r="L58" s="21"/>
    </row>
    <row r="59" spans="1:14" x14ac:dyDescent="0.3">
      <c r="L59" s="21"/>
    </row>
    <row r="60" spans="1:14" x14ac:dyDescent="0.3">
      <c r="A60" t="s">
        <v>71</v>
      </c>
      <c r="B60" t="s">
        <v>2</v>
      </c>
      <c r="C60" t="s">
        <v>3</v>
      </c>
      <c r="D60" t="s">
        <v>4</v>
      </c>
      <c r="E60" s="22"/>
      <c r="F60" t="s">
        <v>70</v>
      </c>
    </row>
    <row r="61" spans="1:14" x14ac:dyDescent="0.3">
      <c r="A61">
        <v>1</v>
      </c>
      <c r="B61">
        <f>B41</f>
        <v>1</v>
      </c>
      <c r="C61">
        <f>C41</f>
        <v>0</v>
      </c>
      <c r="D61">
        <f>D41</f>
        <v>0</v>
      </c>
    </row>
    <row r="62" spans="1:14" x14ac:dyDescent="0.3">
      <c r="A62">
        <v>2</v>
      </c>
      <c r="B62">
        <f>B42</f>
        <v>5</v>
      </c>
      <c r="C62">
        <f>C42</f>
        <v>7</v>
      </c>
      <c r="D62">
        <f>D42</f>
        <v>0</v>
      </c>
    </row>
    <row r="63" spans="1:14" x14ac:dyDescent="0.3">
      <c r="A63">
        <v>3</v>
      </c>
      <c r="B63">
        <f>B43</f>
        <v>5</v>
      </c>
      <c r="C63">
        <f>C43</f>
        <v>7</v>
      </c>
      <c r="D63">
        <f>D43</f>
        <v>7</v>
      </c>
    </row>
    <row r="64" spans="1:14" x14ac:dyDescent="0.3">
      <c r="A64">
        <v>4</v>
      </c>
      <c r="B64">
        <f>B44</f>
        <v>1</v>
      </c>
      <c r="C64">
        <f>C44</f>
        <v>0</v>
      </c>
      <c r="D64">
        <f>D44</f>
        <v>10</v>
      </c>
    </row>
    <row r="66" spans="1:21" x14ac:dyDescent="0.3">
      <c r="A66" t="s">
        <v>72</v>
      </c>
      <c r="H66" t="s">
        <v>73</v>
      </c>
    </row>
    <row r="69" spans="1:21" x14ac:dyDescent="0.3">
      <c r="I69" t="s">
        <v>22</v>
      </c>
      <c r="M69" t="s">
        <v>23</v>
      </c>
    </row>
    <row r="70" spans="1:21" ht="15" thickBot="1" x14ac:dyDescent="0.35">
      <c r="I70" t="s">
        <v>24</v>
      </c>
      <c r="J70" t="s">
        <v>25</v>
      </c>
      <c r="K70" t="s">
        <v>26</v>
      </c>
      <c r="M70" t="s">
        <v>27</v>
      </c>
      <c r="N70" t="s">
        <v>28</v>
      </c>
      <c r="O70" t="s">
        <v>29</v>
      </c>
      <c r="R70" t="s">
        <v>35</v>
      </c>
      <c r="S70" t="s">
        <v>36</v>
      </c>
      <c r="T70" t="s">
        <v>37</v>
      </c>
      <c r="U70" t="s">
        <v>38</v>
      </c>
    </row>
    <row r="71" spans="1:21" x14ac:dyDescent="0.3">
      <c r="H71" t="s">
        <v>2</v>
      </c>
      <c r="I71" s="3">
        <v>1</v>
      </c>
      <c r="J71" s="7">
        <v>0</v>
      </c>
      <c r="K71" s="4">
        <v>0</v>
      </c>
      <c r="M71" s="3">
        <f t="array" ref="M71:M73">TRANSPOSE(G49:I49)</f>
        <v>4</v>
      </c>
      <c r="N71" s="7">
        <f t="array" ref="N71:N73">TRANSPOSE(G51:I51)</f>
        <v>0</v>
      </c>
      <c r="O71" s="4">
        <f t="array" ref="O71:O73">TRANSPOSE(G50:I50)</f>
        <v>70</v>
      </c>
      <c r="R71">
        <f t="array" ref="R71:R73">TRANSPOSE(B61:D61)</f>
        <v>1</v>
      </c>
      <c r="S71">
        <f t="array" ref="S71:S73">TRANSPOSE(B62:D62)</f>
        <v>5</v>
      </c>
      <c r="T71">
        <f t="array" ref="T71:T73">TRANSPOSE(B63:D63)</f>
        <v>5</v>
      </c>
      <c r="U71">
        <f t="array" ref="U71:U73">TRANSPOSE(B64:D64)</f>
        <v>1</v>
      </c>
    </row>
    <row r="72" spans="1:21" x14ac:dyDescent="0.3">
      <c r="G72" s="20" t="s">
        <v>30</v>
      </c>
      <c r="H72" t="s">
        <v>3</v>
      </c>
      <c r="I72" s="8">
        <v>0</v>
      </c>
      <c r="J72" s="1">
        <v>1</v>
      </c>
      <c r="K72" s="9">
        <v>0</v>
      </c>
      <c r="L72" s="20" t="s">
        <v>31</v>
      </c>
      <c r="M72" s="8">
        <v>7</v>
      </c>
      <c r="N72" s="1">
        <v>0</v>
      </c>
      <c r="O72" s="9">
        <v>-40</v>
      </c>
      <c r="R72">
        <v>0</v>
      </c>
      <c r="S72">
        <v>7</v>
      </c>
      <c r="T72">
        <v>7</v>
      </c>
      <c r="U72">
        <v>0</v>
      </c>
    </row>
    <row r="73" spans="1:21" ht="15" thickBot="1" x14ac:dyDescent="0.35">
      <c r="H73" t="s">
        <v>4</v>
      </c>
      <c r="I73" s="5">
        <v>0</v>
      </c>
      <c r="J73" s="10">
        <v>0</v>
      </c>
      <c r="K73" s="6">
        <v>1</v>
      </c>
      <c r="M73" s="5">
        <v>0</v>
      </c>
      <c r="N73" s="10">
        <v>650</v>
      </c>
      <c r="O73" s="6">
        <v>0</v>
      </c>
      <c r="R73">
        <v>0</v>
      </c>
      <c r="S73">
        <v>0</v>
      </c>
      <c r="T73">
        <v>7</v>
      </c>
      <c r="U73">
        <v>10</v>
      </c>
    </row>
    <row r="75" spans="1:21" ht="15" thickBot="1" x14ac:dyDescent="0.35">
      <c r="M75" t="s">
        <v>45</v>
      </c>
    </row>
    <row r="76" spans="1:21" x14ac:dyDescent="0.3">
      <c r="H76" s="20" t="s">
        <v>32</v>
      </c>
      <c r="I76" s="3">
        <f t="array" ref="I76:K78">MINVERSE(I71:K73)</f>
        <v>1</v>
      </c>
      <c r="J76" s="7">
        <v>0</v>
      </c>
      <c r="K76" s="4">
        <v>0</v>
      </c>
      <c r="M76">
        <f>(M71^2+M72^2+M73^2)^0.5</f>
        <v>8.0622577482985491</v>
      </c>
      <c r="N76">
        <f t="shared" ref="N76:O76" si="0">(N71^2+N72^2+N73^2)^0.5</f>
        <v>650</v>
      </c>
      <c r="O76">
        <f t="shared" si="0"/>
        <v>80.622577482985491</v>
      </c>
    </row>
    <row r="77" spans="1:21" ht="15" thickBot="1" x14ac:dyDescent="0.35">
      <c r="I77" s="8">
        <v>0</v>
      </c>
      <c r="J77" s="1">
        <v>1</v>
      </c>
      <c r="K77" s="9">
        <v>0</v>
      </c>
      <c r="M77" t="s">
        <v>83</v>
      </c>
    </row>
    <row r="78" spans="1:21" ht="15" thickBot="1" x14ac:dyDescent="0.35">
      <c r="I78" s="5">
        <v>0</v>
      </c>
      <c r="J78" s="10">
        <v>0</v>
      </c>
      <c r="K78" s="6">
        <v>1</v>
      </c>
      <c r="M78" s="3">
        <f>M71/$M$76</f>
        <v>0.49613893835683387</v>
      </c>
      <c r="N78" s="7">
        <f>N71/$N$76</f>
        <v>0</v>
      </c>
      <c r="O78" s="4">
        <f>O71/$O$76</f>
        <v>0.8682431421244593</v>
      </c>
    </row>
    <row r="79" spans="1:21" x14ac:dyDescent="0.3">
      <c r="L79" s="20" t="s">
        <v>84</v>
      </c>
      <c r="M79" s="8">
        <f t="shared" ref="M79:M80" si="1">M72/$M$76</f>
        <v>0.8682431421244593</v>
      </c>
      <c r="N79" s="1">
        <f t="shared" ref="N79:N80" si="2">N72/$N$76</f>
        <v>0</v>
      </c>
      <c r="O79" s="9">
        <f t="shared" ref="O79:O80" si="3">O72/$O$76</f>
        <v>-0.49613893835683387</v>
      </c>
    </row>
    <row r="80" spans="1:21" ht="15" thickBot="1" x14ac:dyDescent="0.35">
      <c r="M80" s="5">
        <f t="shared" si="1"/>
        <v>0</v>
      </c>
      <c r="N80" s="10">
        <f t="shared" si="2"/>
        <v>1</v>
      </c>
      <c r="O80" s="6">
        <f t="shared" si="3"/>
        <v>0</v>
      </c>
    </row>
    <row r="81" spans="8:15" x14ac:dyDescent="0.3">
      <c r="H81" s="20" t="s">
        <v>33</v>
      </c>
      <c r="I81" s="3">
        <f t="array" ref="I81:K83">MMULT(I76:K78,M78:O80)</f>
        <v>0.49613893835683387</v>
      </c>
      <c r="J81" s="7">
        <v>0</v>
      </c>
      <c r="K81" s="4">
        <v>0.8682431421244593</v>
      </c>
    </row>
    <row r="82" spans="8:15" x14ac:dyDescent="0.3">
      <c r="I82" s="8">
        <v>0.8682431421244593</v>
      </c>
      <c r="J82" s="1">
        <v>0</v>
      </c>
      <c r="K82" s="9">
        <v>-0.49613893835683387</v>
      </c>
    </row>
    <row r="83" spans="8:15" ht="15" thickBot="1" x14ac:dyDescent="0.35">
      <c r="I83" s="5">
        <v>0</v>
      </c>
      <c r="J83" s="10">
        <v>1</v>
      </c>
      <c r="K83" s="6">
        <v>0</v>
      </c>
    </row>
    <row r="84" spans="8:15" ht="15" thickBot="1" x14ac:dyDescent="0.35"/>
    <row r="85" spans="8:15" x14ac:dyDescent="0.3">
      <c r="H85" s="20" t="s">
        <v>34</v>
      </c>
      <c r="I85" s="3">
        <f t="array" ref="I85:K87">MINVERSE(I81:K83)</f>
        <v>0.4961389383568337</v>
      </c>
      <c r="J85" s="7">
        <v>0.86824314212445908</v>
      </c>
      <c r="K85" s="4">
        <v>0</v>
      </c>
    </row>
    <row r="86" spans="8:15" x14ac:dyDescent="0.3">
      <c r="I86" s="8">
        <v>0</v>
      </c>
      <c r="J86" s="1">
        <v>0</v>
      </c>
      <c r="K86" s="9">
        <v>1</v>
      </c>
    </row>
    <row r="87" spans="8:15" ht="15" thickBot="1" x14ac:dyDescent="0.35">
      <c r="I87" s="5">
        <v>0.86824314212445908</v>
      </c>
      <c r="J87" s="10">
        <v>-0.4961389383568337</v>
      </c>
      <c r="K87" s="6">
        <v>0</v>
      </c>
    </row>
    <row r="89" spans="8:15" x14ac:dyDescent="0.3">
      <c r="I89" t="s">
        <v>39</v>
      </c>
      <c r="J89" t="s">
        <v>40</v>
      </c>
      <c r="K89" t="s">
        <v>41</v>
      </c>
      <c r="L89" t="s">
        <v>42</v>
      </c>
      <c r="M89" t="s">
        <v>78</v>
      </c>
    </row>
    <row r="90" spans="8:15" x14ac:dyDescent="0.3">
      <c r="I90" s="11">
        <f t="array" ref="I90:I92">MMULT($I$85:$K$87,R71:R73)</f>
        <v>0.4961389383568337</v>
      </c>
      <c r="J90" s="11">
        <f t="array" ref="J90:J92">MMULT($I$85:$K$87,S71:S73)</f>
        <v>8.5583966866553816</v>
      </c>
      <c r="K90" s="11">
        <f t="array" ref="K90:K92">MMULT($I$85:$K$87,T71:T73)</f>
        <v>8.5583966866553816</v>
      </c>
      <c r="L90" s="11">
        <f t="array" ref="L90:L92">MMULT($I$85:$K$87,U71:U73)</f>
        <v>0.4961389383568337</v>
      </c>
    </row>
    <row r="91" spans="8:15" x14ac:dyDescent="0.3">
      <c r="I91" s="11">
        <v>0</v>
      </c>
      <c r="J91" s="11">
        <v>0</v>
      </c>
      <c r="K91" s="11">
        <v>7</v>
      </c>
      <c r="L91" s="11">
        <v>10</v>
      </c>
    </row>
    <row r="92" spans="8:15" x14ac:dyDescent="0.3">
      <c r="I92" s="32">
        <v>0.86824314212445908</v>
      </c>
      <c r="J92" s="32">
        <v>0.86824314212445941</v>
      </c>
      <c r="K92" s="32">
        <v>0.86824314212445941</v>
      </c>
      <c r="L92" s="32">
        <v>0.86824314212445908</v>
      </c>
      <c r="M92" t="s">
        <v>74</v>
      </c>
      <c r="O92" s="20" t="s">
        <v>46</v>
      </c>
    </row>
    <row r="94" spans="8:15" x14ac:dyDescent="0.3">
      <c r="H94" t="s">
        <v>76</v>
      </c>
    </row>
    <row r="96" spans="8:15" x14ac:dyDescent="0.3">
      <c r="H96" s="2" t="s">
        <v>47</v>
      </c>
    </row>
    <row r="98" spans="8:11" x14ac:dyDescent="0.3">
      <c r="H98" t="s">
        <v>48</v>
      </c>
    </row>
    <row r="100" spans="8:11" x14ac:dyDescent="0.3">
      <c r="H100" t="s">
        <v>75</v>
      </c>
      <c r="J100" t="s">
        <v>49</v>
      </c>
    </row>
    <row r="102" spans="8:11" x14ac:dyDescent="0.3">
      <c r="H102">
        <v>68.528599999999997</v>
      </c>
      <c r="J102">
        <v>68</v>
      </c>
    </row>
    <row r="104" spans="8:11" x14ac:dyDescent="0.3">
      <c r="H104">
        <f>(H102-J102)/H102</f>
        <v>7.7135677658670583E-3</v>
      </c>
      <c r="I104" s="33">
        <f>H104</f>
        <v>7.7135677658670583E-3</v>
      </c>
      <c r="J104" t="s">
        <v>50</v>
      </c>
      <c r="K104" t="s">
        <v>79</v>
      </c>
    </row>
    <row r="107" spans="8:11" x14ac:dyDescent="0.3">
      <c r="H107" t="s">
        <v>77</v>
      </c>
    </row>
    <row r="109" spans="8:11" x14ac:dyDescent="0.3">
      <c r="H109" t="s">
        <v>51</v>
      </c>
    </row>
    <row r="111" spans="8:11" x14ac:dyDescent="0.3">
      <c r="H111" t="s">
        <v>80</v>
      </c>
    </row>
    <row r="120" spans="8:17" x14ac:dyDescent="0.3">
      <c r="I120" t="s">
        <v>2</v>
      </c>
      <c r="J120" t="s">
        <v>3</v>
      </c>
      <c r="K120" t="s">
        <v>4</v>
      </c>
    </row>
    <row r="121" spans="8:17" x14ac:dyDescent="0.3">
      <c r="H121">
        <v>1</v>
      </c>
      <c r="I121">
        <f>B41</f>
        <v>1</v>
      </c>
      <c r="J121">
        <f>C41</f>
        <v>0</v>
      </c>
      <c r="K121">
        <f>D41</f>
        <v>0</v>
      </c>
    </row>
    <row r="122" spans="8:17" x14ac:dyDescent="0.3">
      <c r="H122">
        <v>2</v>
      </c>
      <c r="I122">
        <f>B42</f>
        <v>5</v>
      </c>
      <c r="J122">
        <f>C42</f>
        <v>7</v>
      </c>
      <c r="K122">
        <f>D42</f>
        <v>0</v>
      </c>
    </row>
    <row r="123" spans="8:17" x14ac:dyDescent="0.3">
      <c r="H123">
        <v>3</v>
      </c>
      <c r="I123">
        <f>B43</f>
        <v>5</v>
      </c>
      <c r="J123">
        <f>C43</f>
        <v>7</v>
      </c>
      <c r="K123">
        <f>D43</f>
        <v>7</v>
      </c>
    </row>
    <row r="124" spans="8:17" x14ac:dyDescent="0.3">
      <c r="H124">
        <v>4</v>
      </c>
      <c r="I124">
        <f>B44</f>
        <v>1</v>
      </c>
      <c r="J124">
        <f>C44</f>
        <v>0</v>
      </c>
      <c r="K124">
        <f>D44</f>
        <v>10</v>
      </c>
    </row>
    <row r="126" spans="8:17" x14ac:dyDescent="0.3">
      <c r="I126" t="s">
        <v>52</v>
      </c>
      <c r="N126" t="s">
        <v>53</v>
      </c>
      <c r="Q126" t="s">
        <v>81</v>
      </c>
    </row>
    <row r="127" spans="8:17" x14ac:dyDescent="0.3">
      <c r="H127" t="s">
        <v>54</v>
      </c>
      <c r="M127" t="s">
        <v>54</v>
      </c>
    </row>
    <row r="128" spans="8:17" x14ac:dyDescent="0.3">
      <c r="H128" s="34" t="s">
        <v>55</v>
      </c>
      <c r="I128">
        <f>((I121-I122)^2+(J121-J122)^2+(K121-K122)^2)^0.5</f>
        <v>8.0622577482985491</v>
      </c>
      <c r="J128" t="s">
        <v>61</v>
      </c>
      <c r="M128" s="34" t="s">
        <v>58</v>
      </c>
      <c r="N128">
        <f>((I122-I123)^2+(J122-J123)^2+(K122-K123)^2)^0.5</f>
        <v>7</v>
      </c>
      <c r="O128" t="s">
        <v>61</v>
      </c>
    </row>
    <row r="129" spans="8:15" x14ac:dyDescent="0.3">
      <c r="H129" s="34" t="s">
        <v>56</v>
      </c>
      <c r="I129">
        <f>((I122-I124)^2+(J122-J124)^2+(K122-K124)^2)^0.5</f>
        <v>12.845232578665129</v>
      </c>
      <c r="J129" t="s">
        <v>62</v>
      </c>
      <c r="M129" s="34" t="s">
        <v>59</v>
      </c>
      <c r="N129">
        <f>((I123-I124)^2+(J123-J124)^2+(K123-K124)^2)^0.5</f>
        <v>8.6023252670426267</v>
      </c>
      <c r="O129" t="s">
        <v>62</v>
      </c>
    </row>
    <row r="130" spans="8:15" x14ac:dyDescent="0.3">
      <c r="H130" s="34" t="s">
        <v>57</v>
      </c>
      <c r="I130">
        <f>((I121-I124)^2+(J121-J124)^2+(K121-K124)^2)^0.5</f>
        <v>10</v>
      </c>
      <c r="J130" t="s">
        <v>63</v>
      </c>
      <c r="M130" s="34" t="s">
        <v>60</v>
      </c>
      <c r="N130">
        <f>((I122-I124)^2+(J122-J124)^2+(K122-K124)^2)^0.5</f>
        <v>12.845232578665129</v>
      </c>
      <c r="O130" t="s">
        <v>63</v>
      </c>
    </row>
    <row r="132" spans="8:15" x14ac:dyDescent="0.3">
      <c r="H132" s="34" t="s">
        <v>64</v>
      </c>
      <c r="I132">
        <f>SUM(I128:I130)/2</f>
        <v>15.453745163481839</v>
      </c>
      <c r="N132">
        <f>SUM(N128:N130)/2</f>
        <v>14.223778922853878</v>
      </c>
    </row>
    <row r="134" spans="8:15" x14ac:dyDescent="0.3">
      <c r="H134" s="34" t="s">
        <v>65</v>
      </c>
      <c r="I134">
        <f>(I132*(I132-I128)*(I132-I129)*(I132-I130))^0.5</f>
        <v>40.311288741492746</v>
      </c>
      <c r="N134">
        <f>(N132*(N132-N128)*(N132-N129)*(N132-N130))^0.5</f>
        <v>28.217902119044922</v>
      </c>
    </row>
    <row r="136" spans="8:15" x14ac:dyDescent="0.3">
      <c r="H136" t="s">
        <v>66</v>
      </c>
      <c r="I136" s="20">
        <f>SUM(I134:N134)</f>
        <v>68.529190860537668</v>
      </c>
    </row>
  </sheetData>
  <hyperlinks>
    <hyperlink ref="H96" r:id="rId1"/>
  </hyperlinks>
  <pageMargins left="0.7" right="0.7" top="0.75" bottom="0.75" header="0.3" footer="0.3"/>
  <pageSetup paperSize="9" orientation="portrait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площадь квадрата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Биленко</dc:creator>
  <cp:lastModifiedBy>Екатерина</cp:lastModifiedBy>
  <dcterms:created xsi:type="dcterms:W3CDTF">2019-06-07T07:48:14Z</dcterms:created>
  <dcterms:modified xsi:type="dcterms:W3CDTF">2024-07-04T06:54:52Z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d7bda03a-cb36-41ba-8558-193a04a7b318</vt:lpwstr>
  </property>
</Properties>
</file>