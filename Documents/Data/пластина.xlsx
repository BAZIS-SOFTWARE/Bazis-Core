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N102" i="1" l="1" a="1"/>
  <c r="N103" i="1" s="1"/>
  <c r="N102" i="1"/>
  <c r="M102" i="1" a="1"/>
  <c r="M102" i="1" s="1"/>
  <c r="K41" i="1" a="1"/>
  <c r="K41" i="1" s="1"/>
  <c r="F41" i="1"/>
  <c r="S11" i="1" a="1"/>
  <c r="S11" i="1" s="1"/>
  <c r="N104" i="1" l="1"/>
  <c r="M104" i="1"/>
  <c r="M103" i="1"/>
  <c r="L42" i="1"/>
  <c r="K42" i="1"/>
  <c r="L41" i="1"/>
  <c r="U14" i="1"/>
  <c r="T13" i="1"/>
  <c r="S12" i="1"/>
  <c r="S14" i="1"/>
  <c r="T14" i="1"/>
  <c r="S13" i="1"/>
  <c r="U11" i="1"/>
  <c r="U12" i="1"/>
  <c r="T11" i="1"/>
  <c r="U13" i="1"/>
  <c r="T12" i="1"/>
  <c r="F46" i="1" l="1"/>
  <c r="M33" i="1"/>
  <c r="N33" i="1"/>
  <c r="L33" i="1"/>
  <c r="M32" i="1"/>
  <c r="N32" i="1"/>
  <c r="L32" i="1"/>
  <c r="Q32" i="1" s="1"/>
  <c r="L34" i="1" l="1"/>
  <c r="Q33" i="1" s="1"/>
  <c r="M34" i="1"/>
  <c r="N34" i="1"/>
  <c r="R32" i="1"/>
  <c r="S32" i="1"/>
  <c r="Y32" i="1" l="1"/>
  <c r="V32" i="1"/>
  <c r="X32" i="1" s="1"/>
  <c r="S116" i="1"/>
  <c r="R33" i="1"/>
  <c r="V33" i="1" s="1"/>
  <c r="X33" i="1" s="1"/>
  <c r="S33" i="1"/>
  <c r="R34" i="1" l="1"/>
  <c r="Z33" i="1"/>
  <c r="S34" i="1"/>
  <c r="Y33" i="1"/>
  <c r="AC33" i="1" s="1"/>
  <c r="Z32" i="1"/>
  <c r="AC32" i="1" s="1"/>
  <c r="Q34" i="1"/>
  <c r="M107" i="1"/>
  <c r="O112" i="1"/>
  <c r="Q113" i="1"/>
  <c r="O111" i="1"/>
  <c r="O110" i="1"/>
  <c r="Q115" i="1"/>
  <c r="S118" i="1"/>
  <c r="V34" i="1" l="1"/>
  <c r="Z34" i="1" s="1"/>
  <c r="M109" i="1"/>
  <c r="Q114" i="1"/>
  <c r="M108" i="1"/>
  <c r="S117" i="1"/>
  <c r="O15" i="1"/>
  <c r="X34" i="1" l="1"/>
  <c r="Y34" i="1"/>
  <c r="P112" i="1"/>
  <c r="R114" i="1"/>
  <c r="T116" i="1"/>
  <c r="R113" i="1"/>
  <c r="N107" i="1"/>
  <c r="P110" i="1"/>
  <c r="O23" i="1"/>
  <c r="P22" i="1"/>
  <c r="Q24" i="1"/>
  <c r="O22" i="1"/>
  <c r="O18" i="1" a="1"/>
  <c r="O18" i="1" s="1"/>
  <c r="P28" i="1" s="1"/>
  <c r="I46" i="1"/>
  <c r="H46" i="1"/>
  <c r="G46" i="1"/>
  <c r="AC34" i="1" l="1"/>
  <c r="P111" i="1"/>
  <c r="T117" i="1"/>
  <c r="N108" i="1"/>
  <c r="T118" i="1"/>
  <c r="N109" i="1"/>
  <c r="R115" i="1"/>
  <c r="Q27" i="1"/>
  <c r="P26" i="1"/>
  <c r="P27" i="1"/>
  <c r="Q26" i="1"/>
  <c r="O28" i="1"/>
  <c r="Q28" i="1"/>
  <c r="O26" i="1"/>
  <c r="O27" i="1"/>
  <c r="K46" i="1" a="1"/>
  <c r="I42" i="1"/>
  <c r="H42" i="1"/>
  <c r="G42" i="1"/>
  <c r="F42" i="1"/>
  <c r="I41" i="1"/>
  <c r="H41" i="1"/>
  <c r="G41" i="1"/>
  <c r="M121" i="1" l="1" a="1"/>
  <c r="M121" i="1" s="1"/>
  <c r="K46" i="1"/>
  <c r="K49" i="1"/>
  <c r="K48" i="1"/>
  <c r="K47" i="1"/>
  <c r="F48" i="1"/>
  <c r="T122" i="1" l="1"/>
  <c r="U122" i="1"/>
  <c r="U124" i="1"/>
  <c r="R121" i="1"/>
  <c r="N122" i="1"/>
  <c r="U121" i="1"/>
  <c r="M122" i="1"/>
  <c r="Q127" i="1"/>
  <c r="V124" i="1"/>
  <c r="S123" i="1"/>
  <c r="P122" i="1"/>
  <c r="U123" i="1"/>
  <c r="R122" i="1"/>
  <c r="O121" i="1"/>
  <c r="W127" i="1"/>
  <c r="P125" i="1"/>
  <c r="Q125" i="1"/>
  <c r="N124" i="1"/>
  <c r="O124" i="1"/>
  <c r="X122" i="1"/>
  <c r="Q124" i="1"/>
  <c r="N123" i="1"/>
  <c r="O123" i="1"/>
  <c r="X121" i="1"/>
  <c r="T125" i="1"/>
  <c r="T128" i="1"/>
  <c r="R127" i="1"/>
  <c r="S127" i="1"/>
  <c r="X124" i="1"/>
  <c r="U127" i="1"/>
  <c r="N125" i="1"/>
  <c r="W123" i="1"/>
  <c r="N128" i="1"/>
  <c r="W126" i="1"/>
  <c r="Q128" i="1"/>
  <c r="N127" i="1"/>
  <c r="W125" i="1"/>
  <c r="P128" i="1"/>
  <c r="X128" i="1"/>
  <c r="X125" i="1"/>
  <c r="M126" i="1"/>
  <c r="R123" i="1"/>
  <c r="O122" i="1"/>
  <c r="W128" i="1"/>
  <c r="Q122" i="1"/>
  <c r="N121" i="1"/>
  <c r="R126" i="1"/>
  <c r="S126" i="1"/>
  <c r="X123" i="1"/>
  <c r="M124" i="1"/>
  <c r="V122" i="1"/>
  <c r="S121" i="1"/>
  <c r="T121" i="1"/>
  <c r="M123" i="1"/>
  <c r="V121" i="1"/>
  <c r="R128" i="1"/>
  <c r="S128" i="1"/>
  <c r="X126" i="1"/>
  <c r="T127" i="1"/>
  <c r="Q123" i="1"/>
  <c r="U128" i="1"/>
  <c r="N126" i="1"/>
  <c r="W124" i="1"/>
  <c r="T123" i="1"/>
  <c r="Q126" i="1"/>
  <c r="V123" i="1"/>
  <c r="S122" i="1"/>
  <c r="P121" i="1"/>
  <c r="Q121" i="1"/>
  <c r="U126" i="1"/>
  <c r="V126" i="1"/>
  <c r="S125" i="1"/>
  <c r="P124" i="1"/>
  <c r="U125" i="1"/>
  <c r="V125" i="1"/>
  <c r="S124" i="1"/>
  <c r="P123" i="1"/>
  <c r="T126" i="1"/>
  <c r="P127" i="1"/>
  <c r="V128" i="1"/>
  <c r="O126" i="1"/>
  <c r="M125" i="1"/>
  <c r="V127" i="1"/>
  <c r="O125" i="1"/>
  <c r="M128" i="1"/>
  <c r="R125" i="1"/>
  <c r="W122" i="1"/>
  <c r="O128" i="1"/>
  <c r="M127" i="1"/>
  <c r="R124" i="1"/>
  <c r="W121" i="1"/>
  <c r="O127" i="1"/>
  <c r="T124" i="1"/>
  <c r="X127" i="1"/>
  <c r="P126" i="1"/>
  <c r="M46" i="1" a="1"/>
  <c r="M46" i="1" s="1"/>
  <c r="M47" i="1" l="1"/>
  <c r="N46" i="1"/>
  <c r="N48" i="1"/>
  <c r="N49" i="1"/>
  <c r="N47" i="1"/>
  <c r="O46" i="1"/>
  <c r="O49" i="1"/>
  <c r="P46" i="1"/>
  <c r="O48" i="1"/>
  <c r="P47" i="1"/>
  <c r="P49" i="1"/>
  <c r="O47" i="1"/>
  <c r="P48" i="1"/>
  <c r="M48" i="1"/>
  <c r="M49" i="1"/>
  <c r="R41" i="1" a="1"/>
  <c r="R41" i="1" s="1"/>
  <c r="N41" i="1"/>
  <c r="P41" i="1" s="1"/>
  <c r="S46" i="1" s="1"/>
  <c r="S42" i="1" l="1"/>
  <c r="S41" i="1"/>
  <c r="R42" i="1"/>
  <c r="U46" i="1"/>
  <c r="S49" i="1"/>
  <c r="S48" i="1"/>
  <c r="R48" i="1"/>
  <c r="T48" i="1"/>
  <c r="R49" i="1"/>
  <c r="S47" i="1"/>
  <c r="U49" i="1"/>
  <c r="R46" i="1"/>
  <c r="T47" i="1"/>
  <c r="T49" i="1"/>
  <c r="T46" i="1"/>
  <c r="U48" i="1"/>
  <c r="U47" i="1"/>
  <c r="R47" i="1"/>
  <c r="F51" i="1" l="1" a="1"/>
  <c r="F52" i="1" s="1"/>
  <c r="G67" i="1" s="1"/>
  <c r="G51" i="1" a="1"/>
  <c r="G52" i="1" s="1"/>
  <c r="H51" i="1" a="1"/>
  <c r="H51" i="1" s="1"/>
  <c r="I51" i="1" a="1"/>
  <c r="I52" i="1" s="1"/>
  <c r="G51" i="1" l="1"/>
  <c r="H66" i="1" s="1"/>
  <c r="F51" i="1"/>
  <c r="F66" i="1" s="1"/>
  <c r="H52" i="1"/>
  <c r="J68" i="1" s="1"/>
  <c r="I51" i="1"/>
  <c r="L66" i="1" s="1"/>
  <c r="H68" i="1"/>
  <c r="I67" i="1"/>
  <c r="F68" i="1"/>
  <c r="I68" i="1"/>
  <c r="L68" i="1"/>
  <c r="M67" i="1"/>
  <c r="K68" i="1"/>
  <c r="J66" i="1"/>
  <c r="G68" i="1" l="1"/>
  <c r="K67" i="1"/>
  <c r="M68" i="1"/>
  <c r="F70" i="1" l="1" a="1"/>
  <c r="H70" i="1" s="1"/>
  <c r="F70" i="1" l="1"/>
  <c r="H73" i="1"/>
  <c r="H74" i="1"/>
  <c r="F77" i="1"/>
  <c r="G75" i="1"/>
  <c r="H77" i="1"/>
  <c r="G76" i="1"/>
  <c r="F71" i="1"/>
  <c r="H71" i="1"/>
  <c r="G77" i="1"/>
  <c r="G73" i="1"/>
  <c r="G71" i="1"/>
  <c r="G70" i="1"/>
  <c r="G74" i="1"/>
  <c r="G72" i="1"/>
  <c r="F74" i="1"/>
  <c r="H75" i="1"/>
  <c r="H72" i="1"/>
  <c r="F75" i="1"/>
  <c r="F76" i="1"/>
  <c r="H76" i="1"/>
  <c r="F73" i="1"/>
  <c r="F72" i="1"/>
  <c r="F79" i="1" l="1" a="1"/>
  <c r="G85" i="1" l="1"/>
  <c r="G82" i="1"/>
  <c r="F81" i="1"/>
  <c r="F83" i="1"/>
  <c r="F86" i="1"/>
  <c r="H84" i="1"/>
  <c r="G80" i="1"/>
  <c r="G83" i="1"/>
  <c r="G81" i="1"/>
  <c r="H82" i="1"/>
  <c r="H81" i="1"/>
  <c r="F79" i="1"/>
  <c r="F85" i="1"/>
  <c r="G84" i="1"/>
  <c r="H79" i="1"/>
  <c r="H80" i="1"/>
  <c r="F80" i="1"/>
  <c r="G79" i="1"/>
  <c r="F84" i="1"/>
  <c r="H86" i="1"/>
  <c r="F82" i="1"/>
  <c r="G86" i="1"/>
  <c r="H83" i="1"/>
  <c r="H85" i="1"/>
  <c r="J79" i="1" l="1" a="1"/>
  <c r="O80" i="1" l="1"/>
  <c r="O89" i="1" s="1"/>
  <c r="J82" i="1"/>
  <c r="J91" i="1" s="1"/>
  <c r="J81" i="1"/>
  <c r="J90" i="1" s="1"/>
  <c r="N83" i="1"/>
  <c r="N92" i="1" s="1"/>
  <c r="Q82" i="1"/>
  <c r="Q91" i="1" s="1"/>
  <c r="K84" i="1"/>
  <c r="K93" i="1" s="1"/>
  <c r="N80" i="1"/>
  <c r="N89" i="1" s="1"/>
  <c r="N79" i="1"/>
  <c r="N88" i="1" s="1"/>
  <c r="M83" i="1"/>
  <c r="M92" i="1" s="1"/>
  <c r="M82" i="1"/>
  <c r="M91" i="1" s="1"/>
  <c r="Q86" i="1"/>
  <c r="Q95" i="1" s="1"/>
  <c r="Q85" i="1"/>
  <c r="Q94" i="1" s="1"/>
  <c r="M81" i="1"/>
  <c r="M90" i="1" s="1"/>
  <c r="M80" i="1"/>
  <c r="M89" i="1" s="1"/>
  <c r="Q84" i="1"/>
  <c r="Q93" i="1" s="1"/>
  <c r="Q83" i="1"/>
  <c r="Q92" i="1" s="1"/>
  <c r="M79" i="1"/>
  <c r="M88" i="1" s="1"/>
  <c r="L86" i="1"/>
  <c r="L95" i="1" s="1"/>
  <c r="P82" i="1"/>
  <c r="P91" i="1" s="1"/>
  <c r="L85" i="1"/>
  <c r="L94" i="1" s="1"/>
  <c r="K86" i="1"/>
  <c r="K95" i="1" s="1"/>
  <c r="Q80" i="1"/>
  <c r="Q89" i="1" s="1"/>
  <c r="Q79" i="1"/>
  <c r="Q88" i="1" s="1"/>
  <c r="L83" i="1"/>
  <c r="L92" i="1" s="1"/>
  <c r="L82" i="1"/>
  <c r="L91" i="1" s="1"/>
  <c r="P86" i="1"/>
  <c r="P95" i="1" s="1"/>
  <c r="P85" i="1"/>
  <c r="P94" i="1" s="1"/>
  <c r="L81" i="1"/>
  <c r="L90" i="1" s="1"/>
  <c r="L80" i="1"/>
  <c r="L89" i="1" s="1"/>
  <c r="P84" i="1"/>
  <c r="P93" i="1" s="1"/>
  <c r="P81" i="1"/>
  <c r="P90" i="1" s="1"/>
  <c r="L79" i="1"/>
  <c r="L88" i="1" s="1"/>
  <c r="P83" i="1"/>
  <c r="P92" i="1" s="1"/>
  <c r="O82" i="1"/>
  <c r="O91" i="1" s="1"/>
  <c r="J84" i="1"/>
  <c r="J93" i="1" s="1"/>
  <c r="N81" i="1"/>
  <c r="N90" i="1" s="1"/>
  <c r="M84" i="1"/>
  <c r="M93" i="1" s="1"/>
  <c r="P80" i="1"/>
  <c r="P89" i="1" s="1"/>
  <c r="O83" i="1"/>
  <c r="O92" i="1" s="1"/>
  <c r="K83" i="1"/>
  <c r="K92" i="1" s="1"/>
  <c r="K82" i="1"/>
  <c r="K91" i="1" s="1"/>
  <c r="O86" i="1"/>
  <c r="O95" i="1" s="1"/>
  <c r="O81" i="1"/>
  <c r="O90" i="1" s="1"/>
  <c r="K81" i="1"/>
  <c r="K90" i="1" s="1"/>
  <c r="K80" i="1"/>
  <c r="K89" i="1" s="1"/>
  <c r="O84" i="1"/>
  <c r="O93" i="1" s="1"/>
  <c r="O79" i="1"/>
  <c r="O88" i="1" s="1"/>
  <c r="J86" i="1"/>
  <c r="J95" i="1" s="1"/>
  <c r="N82" i="1"/>
  <c r="N91" i="1" s="1"/>
  <c r="Q81" i="1"/>
  <c r="Q90" i="1" s="1"/>
  <c r="L84" i="1"/>
  <c r="L93" i="1" s="1"/>
  <c r="P79" i="1"/>
  <c r="P88" i="1" s="1"/>
  <c r="O85" i="1"/>
  <c r="O94" i="1" s="1"/>
  <c r="K79" i="1"/>
  <c r="K88" i="1" s="1"/>
  <c r="J83" i="1"/>
  <c r="J92" i="1" s="1"/>
  <c r="N86" i="1"/>
  <c r="N95" i="1" s="1"/>
  <c r="N85" i="1"/>
  <c r="N94" i="1" s="1"/>
  <c r="J80" i="1"/>
  <c r="J89" i="1" s="1"/>
  <c r="N84" i="1"/>
  <c r="N93" i="1" s="1"/>
  <c r="J79" i="1"/>
  <c r="J88" i="1" s="1"/>
  <c r="M86" i="1"/>
  <c r="M95" i="1" s="1"/>
  <c r="J85" i="1"/>
  <c r="J94" i="1" s="1"/>
  <c r="M85" i="1"/>
  <c r="M94" i="1" s="1"/>
  <c r="K85" i="1"/>
  <c r="K94" i="1" s="1"/>
  <c r="M131" i="1" l="1" a="1"/>
  <c r="R135" i="1" l="1"/>
  <c r="R136" i="1"/>
  <c r="M140" i="1"/>
  <c r="M136" i="1"/>
  <c r="N135" i="1"/>
  <c r="O138" i="1"/>
  <c r="S142" i="1"/>
  <c r="N138" i="1"/>
  <c r="S141" i="1"/>
  <c r="P133" i="1"/>
  <c r="P141" i="1"/>
  <c r="Q133" i="1"/>
  <c r="Q141" i="1"/>
  <c r="M135" i="1"/>
  <c r="Q134" i="1"/>
  <c r="S135" i="1"/>
  <c r="N131" i="1"/>
  <c r="R140" i="1"/>
  <c r="R131" i="1"/>
  <c r="N133" i="1"/>
  <c r="O142" i="1"/>
  <c r="R141" i="1"/>
  <c r="Q137" i="1"/>
  <c r="N132" i="1"/>
  <c r="S138" i="1"/>
  <c r="T137" i="1"/>
  <c r="T136" i="1"/>
  <c r="O137" i="1"/>
  <c r="R137" i="1"/>
  <c r="T131" i="1"/>
  <c r="Q139" i="1"/>
  <c r="T139" i="1"/>
  <c r="N141" i="1"/>
  <c r="M133" i="1"/>
  <c r="T135" i="1"/>
  <c r="N136" i="1"/>
  <c r="P140" i="1"/>
  <c r="O132" i="1"/>
  <c r="R134" i="1"/>
  <c r="O139" i="1"/>
  <c r="S132" i="1"/>
  <c r="O134" i="1"/>
  <c r="T134" i="1"/>
  <c r="T141" i="1"/>
  <c r="T140" i="1"/>
  <c r="P132" i="1"/>
  <c r="N142" i="1"/>
  <c r="O140" i="1"/>
  <c r="M131" i="1"/>
  <c r="N139" i="1"/>
  <c r="M141" i="1"/>
  <c r="Q140" i="1"/>
  <c r="T142" i="1"/>
  <c r="Q136" i="1"/>
  <c r="N137" i="1"/>
  <c r="S133" i="1"/>
  <c r="P131" i="1"/>
  <c r="P142" i="1"/>
  <c r="O135" i="1"/>
  <c r="S134" i="1"/>
  <c r="O136" i="1"/>
  <c r="M137" i="1"/>
  <c r="M142" i="1"/>
  <c r="T132" i="1"/>
  <c r="M132" i="1"/>
  <c r="P134" i="1"/>
  <c r="R142" i="1"/>
  <c r="P135" i="1"/>
  <c r="T133" i="1"/>
  <c r="Q138" i="1"/>
  <c r="Q131" i="1"/>
  <c r="Q135" i="1"/>
  <c r="P137" i="1"/>
  <c r="P138" i="1"/>
  <c r="S136" i="1"/>
  <c r="R139" i="1"/>
  <c r="M139" i="1"/>
  <c r="N140" i="1"/>
  <c r="T138" i="1"/>
  <c r="S139" i="1"/>
  <c r="N134" i="1"/>
  <c r="S131" i="1"/>
  <c r="P139" i="1"/>
  <c r="O141" i="1"/>
  <c r="R138" i="1"/>
  <c r="S137" i="1"/>
  <c r="O131" i="1"/>
  <c r="R133" i="1"/>
  <c r="S140" i="1"/>
  <c r="P136" i="1"/>
  <c r="M134" i="1"/>
  <c r="Q142" i="1"/>
  <c r="Q132" i="1"/>
  <c r="O133" i="1"/>
  <c r="R132" i="1"/>
  <c r="M138" i="1"/>
  <c r="M144" i="1" l="1" a="1"/>
  <c r="N147" i="1" l="1"/>
  <c r="X146" i="1"/>
  <c r="T145" i="1"/>
  <c r="X145" i="1"/>
  <c r="S150" i="1"/>
  <c r="O144" i="1"/>
  <c r="T147" i="1"/>
  <c r="W152" i="1"/>
  <c r="S145" i="1"/>
  <c r="P147" i="1"/>
  <c r="U147" i="1"/>
  <c r="T152" i="1"/>
  <c r="P150" i="1"/>
  <c r="O146" i="1"/>
  <c r="R153" i="1"/>
  <c r="U154" i="1"/>
  <c r="S155" i="1"/>
  <c r="W153" i="1"/>
  <c r="M155" i="1"/>
  <c r="X152" i="1"/>
  <c r="O152" i="1"/>
  <c r="Q154" i="1"/>
  <c r="R155" i="1"/>
  <c r="N146" i="1"/>
  <c r="P148" i="1"/>
  <c r="O147" i="1"/>
  <c r="X155" i="1"/>
  <c r="N148" i="1"/>
  <c r="N144" i="1"/>
  <c r="X154" i="1"/>
  <c r="U151" i="1"/>
  <c r="N145" i="1"/>
  <c r="W154" i="1"/>
  <c r="S147" i="1"/>
  <c r="P145" i="1"/>
  <c r="V154" i="1"/>
  <c r="S148" i="1"/>
  <c r="T153" i="1"/>
  <c r="V148" i="1"/>
  <c r="X150" i="1"/>
  <c r="O151" i="1"/>
  <c r="S152" i="1"/>
  <c r="O155" i="1"/>
  <c r="T144" i="1"/>
  <c r="Q148" i="1"/>
  <c r="S144" i="1"/>
  <c r="O153" i="1"/>
  <c r="Q151" i="1"/>
  <c r="M152" i="1"/>
  <c r="Q146" i="1"/>
  <c r="O145" i="1"/>
  <c r="W149" i="1"/>
  <c r="W148" i="1"/>
  <c r="Q144" i="1"/>
  <c r="X151" i="1"/>
  <c r="V153" i="1"/>
  <c r="U145" i="1"/>
  <c r="R145" i="1"/>
  <c r="U152" i="1"/>
  <c r="T146" i="1"/>
  <c r="X153" i="1"/>
  <c r="Q150" i="1"/>
  <c r="V149" i="1"/>
  <c r="V155" i="1"/>
  <c r="P151" i="1"/>
  <c r="P152" i="1"/>
  <c r="P155" i="1"/>
  <c r="N152" i="1"/>
  <c r="O148" i="1"/>
  <c r="M144" i="1"/>
  <c r="M147" i="1"/>
  <c r="V144" i="1"/>
  <c r="R152" i="1"/>
  <c r="P154" i="1"/>
  <c r="T151" i="1"/>
  <c r="T154" i="1"/>
  <c r="M148" i="1"/>
  <c r="N151" i="1"/>
  <c r="T155" i="1"/>
  <c r="M153" i="1"/>
  <c r="T149" i="1"/>
  <c r="O154" i="1"/>
  <c r="V147" i="1"/>
  <c r="P146" i="1"/>
  <c r="W145" i="1"/>
  <c r="R149" i="1"/>
  <c r="N154" i="1"/>
  <c r="V152" i="1"/>
  <c r="O150" i="1"/>
  <c r="U153" i="1"/>
  <c r="Q145" i="1"/>
  <c r="M154" i="1"/>
  <c r="W147" i="1"/>
  <c r="P149" i="1"/>
  <c r="M149" i="1"/>
  <c r="S154" i="1"/>
  <c r="W150" i="1"/>
  <c r="P153" i="1"/>
  <c r="W151" i="1"/>
  <c r="V151" i="1"/>
  <c r="S153" i="1"/>
  <c r="R150" i="1"/>
  <c r="V146" i="1"/>
  <c r="R151" i="1"/>
  <c r="Q152" i="1"/>
  <c r="W146" i="1"/>
  <c r="X144" i="1"/>
  <c r="P144" i="1"/>
  <c r="W155" i="1"/>
  <c r="Q147" i="1"/>
  <c r="T150" i="1"/>
  <c r="S149" i="1"/>
  <c r="Q153" i="1"/>
  <c r="O149" i="1"/>
  <c r="N149" i="1"/>
  <c r="N150" i="1"/>
  <c r="U148" i="1"/>
  <c r="N153" i="1"/>
  <c r="W144" i="1"/>
  <c r="V150" i="1"/>
  <c r="X148" i="1"/>
  <c r="M151" i="1"/>
  <c r="X149" i="1"/>
  <c r="U146" i="1"/>
  <c r="U144" i="1"/>
  <c r="R154" i="1"/>
  <c r="Q149" i="1"/>
  <c r="M145" i="1"/>
  <c r="S146" i="1"/>
  <c r="V145" i="1"/>
  <c r="R148" i="1"/>
  <c r="N155" i="1"/>
  <c r="U155" i="1"/>
  <c r="U149" i="1"/>
  <c r="X147" i="1"/>
  <c r="R144" i="1"/>
  <c r="U150" i="1"/>
  <c r="S151" i="1"/>
  <c r="M146" i="1"/>
  <c r="M150" i="1"/>
  <c r="R146" i="1"/>
  <c r="T148" i="1"/>
  <c r="Q155" i="1"/>
  <c r="R147" i="1"/>
</calcChain>
</file>

<file path=xl/sharedStrings.xml><?xml version="1.0" encoding="utf-8"?>
<sst xmlns="http://schemas.openxmlformats.org/spreadsheetml/2006/main" count="98" uniqueCount="87">
  <si>
    <t>пластина</t>
  </si>
  <si>
    <t>точка</t>
  </si>
  <si>
    <t>S</t>
  </si>
  <si>
    <t>т1</t>
  </si>
  <si>
    <t>ось</t>
  </si>
  <si>
    <t>координата т. интегр.</t>
  </si>
  <si>
    <t xml:space="preserve">производные функции формы </t>
  </si>
  <si>
    <t>матрица Якоби [J]</t>
  </si>
  <si>
    <t>detJ</t>
  </si>
  <si>
    <t>detJ* коэф</t>
  </si>
  <si>
    <t>{J]-1</t>
  </si>
  <si>
    <t>w</t>
  </si>
  <si>
    <t>ξ</t>
  </si>
  <si>
    <t>η</t>
  </si>
  <si>
    <t>N1</t>
  </si>
  <si>
    <t>N2</t>
  </si>
  <si>
    <t>N3</t>
  </si>
  <si>
    <t>N4</t>
  </si>
  <si>
    <t>NT</t>
  </si>
  <si>
    <t>NT*N</t>
  </si>
  <si>
    <t>NT*N*detJ*коэф</t>
  </si>
  <si>
    <t>стр 291</t>
  </si>
  <si>
    <t>B</t>
  </si>
  <si>
    <t>D</t>
  </si>
  <si>
    <t>BT</t>
  </si>
  <si>
    <t>X</t>
  </si>
  <si>
    <t>Y</t>
  </si>
  <si>
    <t>1 точка интегрирования</t>
  </si>
  <si>
    <t xml:space="preserve">толщина </t>
  </si>
  <si>
    <t>BT*D</t>
  </si>
  <si>
    <t>BT*D*B</t>
  </si>
  <si>
    <t>E</t>
  </si>
  <si>
    <t>v</t>
  </si>
  <si>
    <t>Па</t>
  </si>
  <si>
    <t>dNi,j,k/dx</t>
  </si>
  <si>
    <t>dNi,j,k/dy</t>
  </si>
  <si>
    <t>стр 220</t>
  </si>
  <si>
    <t>K э</t>
  </si>
  <si>
    <t>8*8</t>
  </si>
  <si>
    <t>вектора для нахождения вектора нормали к плоскости</t>
  </si>
  <si>
    <t>0x</t>
  </si>
  <si>
    <t>x'</t>
  </si>
  <si>
    <t>z'</t>
  </si>
  <si>
    <t>0z</t>
  </si>
  <si>
    <t>вектор нормали</t>
  </si>
  <si>
    <t>y'</t>
  </si>
  <si>
    <t>l</t>
  </si>
  <si>
    <t>m</t>
  </si>
  <si>
    <t>n</t>
  </si>
  <si>
    <t>Ti</t>
  </si>
  <si>
    <t>T</t>
  </si>
  <si>
    <t>TT</t>
  </si>
  <si>
    <t>8*12</t>
  </si>
  <si>
    <t>12*8</t>
  </si>
  <si>
    <t>T*K local</t>
  </si>
  <si>
    <t>T*K local*TT</t>
  </si>
  <si>
    <t>12*12</t>
  </si>
  <si>
    <t>Z</t>
  </si>
  <si>
    <t>берем четырехугольник в пространстве</t>
  </si>
  <si>
    <t>это в 2D:</t>
  </si>
  <si>
    <t>0y'</t>
  </si>
  <si>
    <t>базис с основанием в плоскости квадрата</t>
  </si>
  <si>
    <t xml:space="preserve">рассмотрим этот квадрат в локальных координатах </t>
  </si>
  <si>
    <t>стр 259, 291</t>
  </si>
  <si>
    <t>Сегерлинд</t>
  </si>
  <si>
    <t>1 этап</t>
  </si>
  <si>
    <t>2 этап</t>
  </si>
  <si>
    <t>стр 221, формула (12.20)</t>
  </si>
  <si>
    <t>а в 3D будет 12*12?</t>
  </si>
  <si>
    <t xml:space="preserve">3 этап </t>
  </si>
  <si>
    <t>длина векторов</t>
  </si>
  <si>
    <t>0 этап</t>
  </si>
  <si>
    <t>"уложить квадрат в плоскость X0Y", думаю, именно это надо использовать при поиске якобиана (и площади, и матрицы B)</t>
  </si>
  <si>
    <t>это мы будем делать в документе "Площадь квадрата"</t>
  </si>
  <si>
    <t>сюда просто скопируем результат</t>
  </si>
  <si>
    <t>проверяем, чтобы точки лежали в 1 плоскости</t>
  </si>
  <si>
    <t>X'1=</t>
  </si>
  <si>
    <t>X'2=</t>
  </si>
  <si>
    <t>X'3=</t>
  </si>
  <si>
    <t>X'4=</t>
  </si>
  <si>
    <t>новые коорлинаты фигуры, которая паралелльна плоскости X0Y</t>
  </si>
  <si>
    <t>округлила до 4 знака</t>
  </si>
  <si>
    <t>x</t>
  </si>
  <si>
    <t>y</t>
  </si>
  <si>
    <t>z</t>
  </si>
  <si>
    <t>транспонировать:</t>
  </si>
  <si>
    <t>нормированный базис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</si>
</sst>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/>
    <xf numFmtId="0" fontId="0" fillId="0" borderId="0" xfId="0" applyBorder="1"/>
    <xf numFmtId="164" fontId="0" fillId="3" borderId="0" xfId="0" applyNumberForma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ill="1"/>
    <xf numFmtId="0" fontId="0" fillId="2" borderId="2" xfId="0" applyFill="1" applyBorder="1"/>
    <xf numFmtId="0" fontId="0" fillId="2" borderId="13" xfId="0" applyFill="1" applyBorder="1"/>
    <xf numFmtId="0" fontId="0" fillId="2" borderId="3" xfId="0" applyFill="1" applyBorder="1"/>
    <xf numFmtId="0" fontId="0" fillId="2" borderId="14" xfId="0" applyFill="1" applyBorder="1"/>
    <xf numFmtId="0" fontId="0" fillId="2" borderId="0" xfId="0" applyFill="1" applyBorder="1"/>
    <xf numFmtId="0" fontId="0" fillId="2" borderId="15" xfId="0" applyFill="1" applyBorder="1"/>
    <xf numFmtId="0" fontId="0" fillId="2" borderId="4" xfId="0" applyFill="1" applyBorder="1"/>
    <xf numFmtId="0" fontId="0" fillId="2" borderId="16" xfId="0" applyFill="1" applyBorder="1"/>
    <xf numFmtId="0" fontId="0" fillId="2" borderId="5" xfId="0" applyFill="1" applyBorder="1"/>
    <xf numFmtId="0" fontId="0" fillId="0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11" xfId="0" applyFill="1" applyBorder="1"/>
    <xf numFmtId="0" fontId="3" fillId="0" borderId="0" xfId="0" applyFont="1" applyAlignment="1">
      <alignment wrapText="1"/>
    </xf>
    <xf numFmtId="0" fontId="0" fillId="0" borderId="17" xfId="0" applyBorder="1"/>
    <xf numFmtId="0" fontId="2" fillId="2" borderId="17" xfId="0" applyFont="1" applyFill="1" applyBorder="1"/>
    <xf numFmtId="0" fontId="0" fillId="3" borderId="0" xfId="0" applyFill="1"/>
    <xf numFmtId="0" fontId="3" fillId="4" borderId="0" xfId="0" applyFont="1" applyFill="1" applyAlignment="1">
      <alignment wrapText="1"/>
    </xf>
    <xf numFmtId="0" fontId="0" fillId="2" borderId="10" xfId="0" applyFill="1" applyBorder="1"/>
    <xf numFmtId="0" fontId="0" fillId="5" borderId="10" xfId="0" applyFill="1" applyBorder="1"/>
    <xf numFmtId="0" fontId="0" fillId="5" borderId="11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8" xfId="0" applyFill="1" applyBorder="1"/>
    <xf numFmtId="0" fontId="0" fillId="5" borderId="0" xfId="0" applyFill="1"/>
    <xf numFmtId="0" fontId="0" fillId="5" borderId="6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289691</xdr:colOff>
      <xdr:row>2</xdr:row>
      <xdr:rowOff>99084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508891" cy="28196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</xdr:row>
      <xdr:rowOff>152400</xdr:rowOff>
    </xdr:from>
    <xdr:to>
      <xdr:col>11</xdr:col>
      <xdr:colOff>442642</xdr:colOff>
      <xdr:row>26</xdr:row>
      <xdr:rowOff>76558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701040"/>
          <a:ext cx="7872142" cy="413039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640135</xdr:colOff>
      <xdr:row>20</xdr:row>
      <xdr:rowOff>45772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8412480"/>
          <a:ext cx="640135" cy="5944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11</xdr:col>
      <xdr:colOff>617861</xdr:colOff>
      <xdr:row>63</xdr:row>
      <xdr:rowOff>167781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7007840"/>
          <a:ext cx="7399661" cy="16308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11</xdr:col>
      <xdr:colOff>175916</xdr:colOff>
      <xdr:row>121</xdr:row>
      <xdr:rowOff>137536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6517600"/>
          <a:ext cx="7567316" cy="43437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10</xdr:col>
      <xdr:colOff>724528</xdr:colOff>
      <xdr:row>141</xdr:row>
      <xdr:rowOff>91749</xdr:rowOff>
    </xdr:to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906720"/>
          <a:ext cx="7247248" cy="3566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56"/>
  <sheetViews>
    <sheetView tabSelected="1" topLeftCell="C82" workbookViewId="0">
      <selection activeCell="W41" sqref="W41"/>
    </sheetView>
  </sheetViews>
  <sheetFormatPr defaultRowHeight="14.4" x14ac:dyDescent="0.3"/>
  <cols>
    <col min="6" max="8" width="12.6640625" bestFit="1" customWidth="1"/>
    <col min="10" max="12" width="12.6640625" bestFit="1" customWidth="1"/>
    <col min="13" max="15" width="12.88671875" bestFit="1" customWidth="1"/>
    <col min="16" max="17" width="13" bestFit="1" customWidth="1"/>
    <col min="18" max="18" width="12.21875" bestFit="1" customWidth="1"/>
    <col min="19" max="20" width="11.77734375" bestFit="1" customWidth="1"/>
    <col min="21" max="21" width="9" bestFit="1" customWidth="1"/>
    <col min="22" max="23" width="11.6640625" bestFit="1" customWidth="1"/>
    <col min="24" max="24" width="9" bestFit="1" customWidth="1"/>
  </cols>
  <sheetData>
    <row r="2" spans="2:21" x14ac:dyDescent="0.3">
      <c r="E2" t="s">
        <v>0</v>
      </c>
      <c r="M2" t="s">
        <v>71</v>
      </c>
      <c r="N2" t="s">
        <v>72</v>
      </c>
    </row>
    <row r="3" spans="2:21" x14ac:dyDescent="0.3">
      <c r="N3" t="s">
        <v>73</v>
      </c>
    </row>
    <row r="4" spans="2:21" x14ac:dyDescent="0.3">
      <c r="B4" t="s">
        <v>59</v>
      </c>
    </row>
    <row r="5" spans="2:21" x14ac:dyDescent="0.3">
      <c r="N5" t="s">
        <v>74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</row>
    <row r="6" spans="2:21" x14ac:dyDescent="0.3">
      <c r="P6" t="s">
        <v>82</v>
      </c>
      <c r="Q6" s="45">
        <v>0.4961389383568337</v>
      </c>
      <c r="R6" s="45">
        <v>8.5583966866553816</v>
      </c>
      <c r="S6" s="45">
        <v>8.5583966866553816</v>
      </c>
      <c r="T6" s="45">
        <v>0.4961389383568337</v>
      </c>
    </row>
    <row r="7" spans="2:21" x14ac:dyDescent="0.3">
      <c r="P7" t="s">
        <v>83</v>
      </c>
      <c r="Q7" s="45">
        <v>0</v>
      </c>
      <c r="R7" s="45">
        <v>0</v>
      </c>
      <c r="S7" s="45">
        <v>7</v>
      </c>
      <c r="T7" s="45">
        <v>10</v>
      </c>
    </row>
    <row r="8" spans="2:21" x14ac:dyDescent="0.3">
      <c r="P8" t="s">
        <v>84</v>
      </c>
      <c r="Q8">
        <v>0.86824314212445908</v>
      </c>
      <c r="R8">
        <v>0.86824314212445941</v>
      </c>
      <c r="S8">
        <v>0.86824314212445941</v>
      </c>
      <c r="T8">
        <v>0.86824314212445908</v>
      </c>
      <c r="U8" t="s">
        <v>81</v>
      </c>
    </row>
    <row r="10" spans="2:21" x14ac:dyDescent="0.3">
      <c r="P10" t="s">
        <v>85</v>
      </c>
      <c r="R10" t="s">
        <v>1</v>
      </c>
      <c r="S10" t="s">
        <v>25</v>
      </c>
      <c r="T10" t="s">
        <v>26</v>
      </c>
      <c r="U10" t="s">
        <v>57</v>
      </c>
    </row>
    <row r="11" spans="2:21" x14ac:dyDescent="0.3">
      <c r="R11">
        <v>1</v>
      </c>
      <c r="S11" s="46">
        <f t="array" ref="S11:U14">TRANSPOSE(Q6:T8)</f>
        <v>0.4961389383568337</v>
      </c>
      <c r="T11" s="47">
        <v>0</v>
      </c>
      <c r="U11" s="10">
        <v>0.86824314212445908</v>
      </c>
    </row>
    <row r="12" spans="2:21" x14ac:dyDescent="0.3">
      <c r="R12">
        <v>2</v>
      </c>
      <c r="S12" s="48">
        <v>8.5583966866553816</v>
      </c>
      <c r="T12" s="49">
        <v>0</v>
      </c>
      <c r="U12" s="11">
        <v>0.86824314212445941</v>
      </c>
    </row>
    <row r="13" spans="2:21" x14ac:dyDescent="0.3">
      <c r="R13">
        <v>3</v>
      </c>
      <c r="S13" s="48">
        <v>8.5583966866553816</v>
      </c>
      <c r="T13" s="49">
        <v>7</v>
      </c>
      <c r="U13" s="11">
        <v>0.86824314212445941</v>
      </c>
    </row>
    <row r="14" spans="2:21" x14ac:dyDescent="0.3">
      <c r="R14">
        <v>4</v>
      </c>
      <c r="S14" s="39">
        <v>0.4961389383568337</v>
      </c>
      <c r="T14" s="40">
        <v>10</v>
      </c>
      <c r="U14" s="14">
        <v>0.86824314212445908</v>
      </c>
    </row>
    <row r="15" spans="2:21" x14ac:dyDescent="0.3">
      <c r="N15" t="s">
        <v>31</v>
      </c>
      <c r="O15" s="34">
        <f>2.1*10^11</f>
        <v>210000000000</v>
      </c>
      <c r="P15" t="s">
        <v>33</v>
      </c>
    </row>
    <row r="16" spans="2:21" x14ac:dyDescent="0.3">
      <c r="N16" t="s">
        <v>32</v>
      </c>
      <c r="O16" s="34">
        <v>0.3</v>
      </c>
    </row>
    <row r="18" spans="2:29" x14ac:dyDescent="0.3">
      <c r="O18" s="34">
        <f t="array" ref="O18">O15/(1-O16^2)</f>
        <v>230769230769.23077</v>
      </c>
    </row>
    <row r="22" spans="2:29" x14ac:dyDescent="0.3">
      <c r="O22" s="34">
        <f>1</f>
        <v>1</v>
      </c>
      <c r="P22" s="34">
        <f>O16</f>
        <v>0.3</v>
      </c>
      <c r="Q22" s="34">
        <v>0</v>
      </c>
    </row>
    <row r="23" spans="2:29" x14ac:dyDescent="0.3">
      <c r="O23" s="34">
        <f>O16</f>
        <v>0.3</v>
      </c>
      <c r="P23" s="34">
        <v>1</v>
      </c>
      <c r="Q23" s="34">
        <v>0</v>
      </c>
    </row>
    <row r="24" spans="2:29" x14ac:dyDescent="0.3">
      <c r="O24" s="34">
        <v>0</v>
      </c>
      <c r="P24" s="34">
        <v>0</v>
      </c>
      <c r="Q24" s="34">
        <f>(1-O16)/2</f>
        <v>0.35</v>
      </c>
    </row>
    <row r="26" spans="2:29" x14ac:dyDescent="0.3">
      <c r="N26" t="s">
        <v>23</v>
      </c>
      <c r="O26" s="35">
        <f>$O$18*O22</f>
        <v>230769230769.23077</v>
      </c>
      <c r="P26" s="35">
        <f>$O$18*P22</f>
        <v>69230769230.769226</v>
      </c>
      <c r="Q26" s="35">
        <f>$O$18*Q22</f>
        <v>0</v>
      </c>
      <c r="R26" s="34"/>
    </row>
    <row r="27" spans="2:29" x14ac:dyDescent="0.3">
      <c r="O27" s="35">
        <f>$O$18*O23</f>
        <v>69230769230.769226</v>
      </c>
      <c r="P27" s="35">
        <f>$O$18*P23</f>
        <v>230769230769.23077</v>
      </c>
      <c r="Q27" s="35">
        <f>$O$18*Q23</f>
        <v>0</v>
      </c>
      <c r="R27" s="34"/>
    </row>
    <row r="28" spans="2:29" x14ac:dyDescent="0.3">
      <c r="O28" s="35">
        <f>$O$18*O24</f>
        <v>0</v>
      </c>
      <c r="P28" s="35">
        <f>$O$18*P24</f>
        <v>0</v>
      </c>
      <c r="Q28" s="35">
        <f>$O$18*Q24</f>
        <v>80769230769.230759</v>
      </c>
      <c r="R28" s="34"/>
    </row>
    <row r="29" spans="2:29" x14ac:dyDescent="0.3">
      <c r="B29" t="s">
        <v>65</v>
      </c>
      <c r="E29" t="s">
        <v>58</v>
      </c>
    </row>
    <row r="30" spans="2:29" x14ac:dyDescent="0.3">
      <c r="D30" t="s">
        <v>1</v>
      </c>
      <c r="E30" t="s">
        <v>25</v>
      </c>
      <c r="F30" t="s">
        <v>26</v>
      </c>
      <c r="G30" t="s">
        <v>57</v>
      </c>
      <c r="H30" t="s">
        <v>28</v>
      </c>
      <c r="I30">
        <v>0.1</v>
      </c>
      <c r="K30" t="s">
        <v>39</v>
      </c>
      <c r="V30" s="15"/>
    </row>
    <row r="31" spans="2:29" ht="15" thickBot="1" x14ac:dyDescent="0.35">
      <c r="D31">
        <v>1</v>
      </c>
      <c r="E31" s="8">
        <v>1</v>
      </c>
      <c r="F31" s="9">
        <v>0</v>
      </c>
      <c r="G31" s="10">
        <v>0</v>
      </c>
      <c r="L31">
        <v>1</v>
      </c>
      <c r="M31">
        <v>1</v>
      </c>
      <c r="N31">
        <v>1</v>
      </c>
      <c r="Q31" t="s">
        <v>61</v>
      </c>
      <c r="V31" t="s">
        <v>70</v>
      </c>
      <c r="X31" t="s">
        <v>86</v>
      </c>
      <c r="AC31" t="s">
        <v>70</v>
      </c>
    </row>
    <row r="32" spans="2:29" x14ac:dyDescent="0.3">
      <c r="D32">
        <v>2</v>
      </c>
      <c r="E32" s="1">
        <v>5</v>
      </c>
      <c r="F32" s="6">
        <v>7</v>
      </c>
      <c r="G32" s="11">
        <v>0</v>
      </c>
      <c r="K32" t="s">
        <v>40</v>
      </c>
      <c r="L32" s="8">
        <f>E32-E31</f>
        <v>4</v>
      </c>
      <c r="M32" s="9">
        <f t="shared" ref="M32:N32" si="0">F32-F31</f>
        <v>7</v>
      </c>
      <c r="N32" s="10">
        <f t="shared" si="0"/>
        <v>0</v>
      </c>
      <c r="P32" t="s">
        <v>46</v>
      </c>
      <c r="Q32" s="16">
        <f>L32</f>
        <v>4</v>
      </c>
      <c r="R32" s="17">
        <f>M32</f>
        <v>7</v>
      </c>
      <c r="S32" s="18">
        <f>N32</f>
        <v>0</v>
      </c>
      <c r="T32" t="s">
        <v>41</v>
      </c>
      <c r="V32" s="41">
        <f>(Q32^2+R32^2+S32^2)^0.5</f>
        <v>8.0622577482985491</v>
      </c>
      <c r="X32" s="26">
        <f>Q32/$V$32</f>
        <v>0.49613893835683387</v>
      </c>
      <c r="Y32" s="27">
        <f t="shared" ref="Y32:Z32" si="1">R32/$V$32</f>
        <v>0.8682431421244593</v>
      </c>
      <c r="Z32" s="44">
        <f t="shared" si="1"/>
        <v>0</v>
      </c>
      <c r="AA32" t="s">
        <v>41</v>
      </c>
      <c r="AC32" s="41">
        <f>(X32^2+Y32^2+Z32^2)^0.5</f>
        <v>1</v>
      </c>
    </row>
    <row r="33" spans="2:29" x14ac:dyDescent="0.3">
      <c r="D33">
        <v>3</v>
      </c>
      <c r="E33" s="1">
        <v>5</v>
      </c>
      <c r="F33" s="6">
        <v>7</v>
      </c>
      <c r="G33" s="11">
        <v>7</v>
      </c>
      <c r="K33" t="s">
        <v>60</v>
      </c>
      <c r="L33" s="1">
        <f>E33-E31</f>
        <v>4</v>
      </c>
      <c r="M33" s="6">
        <f t="shared" ref="M33:N33" si="2">F33-F31</f>
        <v>7</v>
      </c>
      <c r="N33" s="11">
        <f t="shared" si="2"/>
        <v>7</v>
      </c>
      <c r="P33" t="s">
        <v>48</v>
      </c>
      <c r="Q33" s="19">
        <f>L34</f>
        <v>49</v>
      </c>
      <c r="R33" s="20">
        <f>M34</f>
        <v>-28</v>
      </c>
      <c r="S33" s="21">
        <f>N34</f>
        <v>0</v>
      </c>
      <c r="T33" s="6" t="s">
        <v>42</v>
      </c>
      <c r="V33" s="42">
        <f t="shared" ref="V33:V34" si="3">(Q33^2+R33^2+S33^2)^0.5</f>
        <v>56.435804238089851</v>
      </c>
      <c r="X33" s="28">
        <f>Q33/$V$33</f>
        <v>0.86824314212445919</v>
      </c>
      <c r="Y33" s="20">
        <f t="shared" ref="Y33:Z33" si="4">R33/$V$33</f>
        <v>-0.49613893835683381</v>
      </c>
      <c r="Z33" s="29">
        <f t="shared" si="4"/>
        <v>0</v>
      </c>
      <c r="AA33" s="6" t="s">
        <v>42</v>
      </c>
      <c r="AC33" s="42">
        <f>(X33^2+Y33^2+Z33^2)^0.5</f>
        <v>1</v>
      </c>
    </row>
    <row r="34" spans="2:29" ht="32.4" thickBot="1" x14ac:dyDescent="0.35">
      <c r="D34">
        <v>4</v>
      </c>
      <c r="E34" s="12">
        <v>1</v>
      </c>
      <c r="F34" s="13">
        <v>0</v>
      </c>
      <c r="G34" s="14">
        <v>10</v>
      </c>
      <c r="H34" s="37" t="s">
        <v>75</v>
      </c>
      <c r="K34" t="s">
        <v>43</v>
      </c>
      <c r="L34" s="12">
        <f>M32*N33-N32*M33</f>
        <v>49</v>
      </c>
      <c r="M34" s="13">
        <f>-L32*N33+N32*L33</f>
        <v>-28</v>
      </c>
      <c r="N34" s="14">
        <f>L32*M33-M32*L33</f>
        <v>0</v>
      </c>
      <c r="O34" s="33" t="s">
        <v>44</v>
      </c>
      <c r="P34" t="s">
        <v>47</v>
      </c>
      <c r="Q34" s="22">
        <f>-R32*S33+S32*R33</f>
        <v>0</v>
      </c>
      <c r="R34" s="23">
        <f>Q32*S33-S32*Q33</f>
        <v>0</v>
      </c>
      <c r="S34" s="24">
        <f>-Q32*R33+R32*Q33</f>
        <v>455</v>
      </c>
      <c r="T34" t="s">
        <v>45</v>
      </c>
      <c r="V34" s="43">
        <f t="shared" si="3"/>
        <v>455</v>
      </c>
      <c r="X34" s="38">
        <f>Q34/$V$34</f>
        <v>0</v>
      </c>
      <c r="Y34" s="30">
        <f t="shared" ref="Y34:Z34" si="5">R34/$V$34</f>
        <v>0</v>
      </c>
      <c r="Z34" s="31">
        <f t="shared" si="5"/>
        <v>1</v>
      </c>
      <c r="AA34" t="s">
        <v>45</v>
      </c>
      <c r="AC34" s="43">
        <f>(X34^2+Y34^2+Z34^2)^0.5</f>
        <v>1</v>
      </c>
    </row>
    <row r="37" spans="2:29" x14ac:dyDescent="0.3">
      <c r="B37" t="s">
        <v>66</v>
      </c>
      <c r="C37" t="s">
        <v>62</v>
      </c>
    </row>
    <row r="38" spans="2:29" x14ac:dyDescent="0.3">
      <c r="D38" t="s">
        <v>27</v>
      </c>
    </row>
    <row r="39" spans="2:29" x14ac:dyDescent="0.3">
      <c r="C39" s="2" t="s">
        <v>3</v>
      </c>
    </row>
    <row r="40" spans="2:29" x14ac:dyDescent="0.3">
      <c r="C40" t="s">
        <v>4</v>
      </c>
      <c r="D40" t="s">
        <v>5</v>
      </c>
      <c r="F40" t="s">
        <v>6</v>
      </c>
      <c r="K40" t="s">
        <v>7</v>
      </c>
      <c r="L40" s="3"/>
      <c r="N40" t="s">
        <v>8</v>
      </c>
      <c r="P40" t="s">
        <v>9</v>
      </c>
      <c r="R40" t="s">
        <v>10</v>
      </c>
      <c r="U40" t="s">
        <v>11</v>
      </c>
      <c r="V40" s="4">
        <v>4</v>
      </c>
    </row>
    <row r="41" spans="2:29" x14ac:dyDescent="0.3">
      <c r="C41" s="5" t="s">
        <v>12</v>
      </c>
      <c r="D41" s="3">
        <v>0</v>
      </c>
      <c r="E41" s="3"/>
      <c r="F41" s="6">
        <f>(-1)*(1-D42)/4</f>
        <v>-0.25</v>
      </c>
      <c r="G41" s="6">
        <f>(1-D42)/4</f>
        <v>0.25</v>
      </c>
      <c r="H41" s="6">
        <f>(1+D42)/4</f>
        <v>0.25</v>
      </c>
      <c r="I41" s="6">
        <f>(-1)*(1+D42)/4</f>
        <v>-0.25</v>
      </c>
      <c r="K41" s="6">
        <f t="array" ref="K41:L42">MMULT(F41:I42,S11:T14)</f>
        <v>4.0311288741492737</v>
      </c>
      <c r="L41" s="6">
        <v>-0.75</v>
      </c>
      <c r="M41" s="6"/>
      <c r="N41">
        <f>MDETERM(K41:L42)</f>
        <v>17.132297715134413</v>
      </c>
      <c r="P41">
        <f>ABS(N41*V40)</f>
        <v>68.529190860537653</v>
      </c>
      <c r="Q41" s="2" t="s">
        <v>2</v>
      </c>
      <c r="R41">
        <f t="array" ref="R41:S42">MINVERSE(K41:L42)</f>
        <v>0.24806946917841699</v>
      </c>
      <c r="S41">
        <v>4.3776965149132402E-2</v>
      </c>
    </row>
    <row r="42" spans="2:29" x14ac:dyDescent="0.3">
      <c r="C42" s="5" t="s">
        <v>13</v>
      </c>
      <c r="D42" s="3">
        <v>0</v>
      </c>
      <c r="E42" s="3"/>
      <c r="F42" s="6">
        <f>(-1)*(1-D41)/4</f>
        <v>-0.25</v>
      </c>
      <c r="G42" s="6">
        <f>(-1)*(1+D41)/4</f>
        <v>-0.25</v>
      </c>
      <c r="H42" s="6">
        <f>(1+D41)/4</f>
        <v>0.25</v>
      </c>
      <c r="I42" s="6">
        <f>(1-D41)/4</f>
        <v>0.25</v>
      </c>
      <c r="K42" s="6">
        <v>-1.2490009027033011E-16</v>
      </c>
      <c r="L42" s="6">
        <v>4.25</v>
      </c>
      <c r="M42" s="6"/>
      <c r="R42">
        <v>7.2903291985169779E-18</v>
      </c>
      <c r="S42">
        <v>0.23529411764705882</v>
      </c>
    </row>
    <row r="43" spans="2:29" x14ac:dyDescent="0.3">
      <c r="C43" s="5" t="s">
        <v>64</v>
      </c>
      <c r="D43" s="7" t="s">
        <v>63</v>
      </c>
      <c r="E43" s="3"/>
      <c r="F43" s="6"/>
      <c r="G43" s="6"/>
      <c r="H43" s="6"/>
      <c r="I43" s="6"/>
      <c r="K43" s="6"/>
      <c r="L43" s="6"/>
      <c r="M43" s="6"/>
    </row>
    <row r="45" spans="2:29" x14ac:dyDescent="0.3">
      <c r="F45" s="3" t="s">
        <v>14</v>
      </c>
      <c r="G45" s="3" t="s">
        <v>15</v>
      </c>
      <c r="H45" s="3" t="s">
        <v>16</v>
      </c>
      <c r="I45" s="3" t="s">
        <v>17</v>
      </c>
      <c r="K45" s="3" t="s">
        <v>18</v>
      </c>
      <c r="L45" s="3"/>
      <c r="M45" s="3" t="s">
        <v>19</v>
      </c>
      <c r="N45" s="3"/>
      <c r="R45" t="s">
        <v>20</v>
      </c>
    </row>
    <row r="46" spans="2:29" x14ac:dyDescent="0.3">
      <c r="C46" t="s">
        <v>21</v>
      </c>
      <c r="F46" s="3">
        <f>(1-D41)*(1-D42)/4</f>
        <v>0.25</v>
      </c>
      <c r="G46" s="3">
        <f>(1+D41)*(1-D42)/4</f>
        <v>0.25</v>
      </c>
      <c r="H46" s="3">
        <f>(1+D41)*(1+D42)/4</f>
        <v>0.25</v>
      </c>
      <c r="I46" s="3">
        <f>(1-D41)*(1+D42)/4</f>
        <v>0.25</v>
      </c>
      <c r="K46">
        <f t="array" ref="K46:K49">TRANSPOSE(F46:I46)</f>
        <v>0.25</v>
      </c>
      <c r="M46">
        <f t="array" ref="M46:P49">MMULT(K46:K49,F46:I46)</f>
        <v>6.25E-2</v>
      </c>
      <c r="N46">
        <v>6.25E-2</v>
      </c>
      <c r="O46">
        <v>6.25E-2</v>
      </c>
      <c r="P46">
        <v>6.25E-2</v>
      </c>
      <c r="R46">
        <f>M46*$P$41</f>
        <v>4.2830744287836033</v>
      </c>
      <c r="S46">
        <f t="shared" ref="S46:U49" si="6">N46*$P$41</f>
        <v>4.2830744287836033</v>
      </c>
      <c r="T46">
        <f t="shared" si="6"/>
        <v>4.2830744287836033</v>
      </c>
      <c r="U46">
        <f t="shared" si="6"/>
        <v>4.2830744287836033</v>
      </c>
    </row>
    <row r="47" spans="2:29" x14ac:dyDescent="0.3">
      <c r="F47" s="36" t="s">
        <v>21</v>
      </c>
      <c r="K47">
        <v>0.25</v>
      </c>
      <c r="M47">
        <v>6.25E-2</v>
      </c>
      <c r="N47">
        <v>6.25E-2</v>
      </c>
      <c r="O47">
        <v>6.25E-2</v>
      </c>
      <c r="P47">
        <v>6.25E-2</v>
      </c>
      <c r="R47">
        <f t="shared" ref="R47:R49" si="7">M47*$P$41</f>
        <v>4.2830744287836033</v>
      </c>
      <c r="S47">
        <f t="shared" si="6"/>
        <v>4.2830744287836033</v>
      </c>
      <c r="T47">
        <f t="shared" si="6"/>
        <v>4.2830744287836033</v>
      </c>
      <c r="U47">
        <f t="shared" si="6"/>
        <v>4.2830744287836033</v>
      </c>
    </row>
    <row r="48" spans="2:29" x14ac:dyDescent="0.3">
      <c r="F48" s="3">
        <f>SUM(F46:I46)</f>
        <v>1</v>
      </c>
      <c r="K48">
        <v>0.25</v>
      </c>
      <c r="M48">
        <v>6.25E-2</v>
      </c>
      <c r="N48">
        <v>6.25E-2</v>
      </c>
      <c r="O48">
        <v>6.25E-2</v>
      </c>
      <c r="P48">
        <v>6.25E-2</v>
      </c>
      <c r="R48">
        <f t="shared" si="7"/>
        <v>4.2830744287836033</v>
      </c>
      <c r="S48">
        <f t="shared" si="6"/>
        <v>4.2830744287836033</v>
      </c>
      <c r="T48">
        <f t="shared" si="6"/>
        <v>4.2830744287836033</v>
      </c>
      <c r="U48">
        <f t="shared" si="6"/>
        <v>4.2830744287836033</v>
      </c>
    </row>
    <row r="49" spans="3:21" x14ac:dyDescent="0.3">
      <c r="F49" t="s">
        <v>22</v>
      </c>
      <c r="K49">
        <v>0.25</v>
      </c>
      <c r="M49">
        <v>6.25E-2</v>
      </c>
      <c r="N49">
        <v>6.25E-2</v>
      </c>
      <c r="O49">
        <v>6.25E-2</v>
      </c>
      <c r="P49">
        <v>6.25E-2</v>
      </c>
      <c r="R49">
        <f t="shared" si="7"/>
        <v>4.2830744287836033</v>
      </c>
      <c r="S49">
        <f t="shared" si="6"/>
        <v>4.2830744287836033</v>
      </c>
      <c r="T49">
        <f t="shared" si="6"/>
        <v>4.2830744287836033</v>
      </c>
      <c r="U49">
        <f t="shared" si="6"/>
        <v>4.2830744287836033</v>
      </c>
    </row>
    <row r="51" spans="3:21" x14ac:dyDescent="0.3">
      <c r="C51" t="s">
        <v>34</v>
      </c>
      <c r="F51" s="6">
        <f t="array" ref="F51:F52">MMULT($R$41:$S$42,F41:F42)</f>
        <v>-7.2961608581887355E-2</v>
      </c>
      <c r="G51" s="6">
        <f t="array" ref="G51:G52">MMULT($R$41:$S$42,G41:G42)</f>
        <v>5.1073126007321147E-2</v>
      </c>
      <c r="H51" s="6">
        <f t="array" ref="H51:H52">MMULT($R$41:$S$42,H41:H42)</f>
        <v>7.2961608581887355E-2</v>
      </c>
      <c r="I51" s="6">
        <f t="array" ref="I51:I52">MMULT($R$41:$S$42,I41:I42)</f>
        <v>-5.1073126007321147E-2</v>
      </c>
      <c r="N51" s="6"/>
      <c r="O51" s="6"/>
    </row>
    <row r="52" spans="3:21" x14ac:dyDescent="0.3">
      <c r="C52" t="s">
        <v>35</v>
      </c>
      <c r="F52" s="6">
        <v>-5.8823529411764705E-2</v>
      </c>
      <c r="G52" s="6">
        <v>-5.8823529411764705E-2</v>
      </c>
      <c r="H52" s="6">
        <v>5.8823529411764705E-2</v>
      </c>
      <c r="I52" s="6">
        <v>5.8823529411764705E-2</v>
      </c>
      <c r="N52" s="6"/>
      <c r="O52" s="6"/>
    </row>
    <row r="53" spans="3:21" x14ac:dyDescent="0.3">
      <c r="N53" s="6"/>
      <c r="O53" s="6"/>
    </row>
    <row r="54" spans="3:21" x14ac:dyDescent="0.3">
      <c r="N54" s="6"/>
      <c r="O54" s="6"/>
    </row>
    <row r="66" spans="3:17" x14ac:dyDescent="0.3">
      <c r="C66" t="s">
        <v>36</v>
      </c>
      <c r="E66" t="s">
        <v>22</v>
      </c>
      <c r="F66" s="8">
        <f>F51</f>
        <v>-7.2961608581887355E-2</v>
      </c>
      <c r="G66" s="9">
        <v>0</v>
      </c>
      <c r="H66" s="9">
        <f>G51</f>
        <v>5.1073126007321147E-2</v>
      </c>
      <c r="I66" s="9">
        <v>0</v>
      </c>
      <c r="J66" s="9">
        <f>H51</f>
        <v>7.2961608581887355E-2</v>
      </c>
      <c r="K66" s="9">
        <v>0</v>
      </c>
      <c r="L66" s="9">
        <f>I51</f>
        <v>-5.1073126007321147E-2</v>
      </c>
      <c r="M66" s="10">
        <v>0</v>
      </c>
    </row>
    <row r="67" spans="3:17" x14ac:dyDescent="0.3">
      <c r="F67" s="1">
        <v>0</v>
      </c>
      <c r="G67" s="6">
        <f>F52</f>
        <v>-5.8823529411764705E-2</v>
      </c>
      <c r="H67" s="6">
        <v>0</v>
      </c>
      <c r="I67" s="6">
        <f>G52</f>
        <v>-5.8823529411764705E-2</v>
      </c>
      <c r="J67" s="6">
        <v>0</v>
      </c>
      <c r="K67" s="6">
        <f>H52</f>
        <v>5.8823529411764705E-2</v>
      </c>
      <c r="L67" s="6">
        <v>0</v>
      </c>
      <c r="M67" s="11">
        <f>I52</f>
        <v>5.8823529411764705E-2</v>
      </c>
    </row>
    <row r="68" spans="3:17" x14ac:dyDescent="0.3">
      <c r="F68" s="12">
        <f>F52</f>
        <v>-5.8823529411764705E-2</v>
      </c>
      <c r="G68" s="13">
        <f>F51</f>
        <v>-7.2961608581887355E-2</v>
      </c>
      <c r="H68" s="13">
        <f>G52</f>
        <v>-5.8823529411764705E-2</v>
      </c>
      <c r="I68" s="13">
        <f>G51</f>
        <v>5.1073126007321147E-2</v>
      </c>
      <c r="J68" s="13">
        <f>H52</f>
        <v>5.8823529411764705E-2</v>
      </c>
      <c r="K68" s="13">
        <f>H51</f>
        <v>7.2961608581887355E-2</v>
      </c>
      <c r="L68" s="13">
        <f>I52</f>
        <v>5.8823529411764705E-2</v>
      </c>
      <c r="M68" s="14">
        <f>I51</f>
        <v>-5.1073126007321147E-2</v>
      </c>
    </row>
    <row r="70" spans="3:17" x14ac:dyDescent="0.3">
      <c r="E70" t="s">
        <v>24</v>
      </c>
      <c r="F70" s="8">
        <f t="array" ref="F70:H77">TRANSPOSE(F66:M68)</f>
        <v>-7.2961608581887355E-2</v>
      </c>
      <c r="G70" s="9">
        <v>0</v>
      </c>
      <c r="H70" s="10">
        <v>-5.8823529411764705E-2</v>
      </c>
    </row>
    <row r="71" spans="3:17" x14ac:dyDescent="0.3">
      <c r="F71" s="1">
        <v>0</v>
      </c>
      <c r="G71" s="6">
        <v>-5.8823529411764705E-2</v>
      </c>
      <c r="H71" s="11">
        <v>-7.2961608581887355E-2</v>
      </c>
    </row>
    <row r="72" spans="3:17" x14ac:dyDescent="0.3">
      <c r="F72" s="1">
        <v>5.1073126007321147E-2</v>
      </c>
      <c r="G72" s="6">
        <v>0</v>
      </c>
      <c r="H72" s="11">
        <v>-5.8823529411764705E-2</v>
      </c>
    </row>
    <row r="73" spans="3:17" x14ac:dyDescent="0.3">
      <c r="F73" s="1">
        <v>0</v>
      </c>
      <c r="G73" s="6">
        <v>-5.8823529411764705E-2</v>
      </c>
      <c r="H73" s="11">
        <v>5.1073126007321147E-2</v>
      </c>
    </row>
    <row r="74" spans="3:17" x14ac:dyDescent="0.3">
      <c r="F74" s="1">
        <v>7.2961608581887355E-2</v>
      </c>
      <c r="G74" s="6">
        <v>0</v>
      </c>
      <c r="H74" s="11">
        <v>5.8823529411764705E-2</v>
      </c>
    </row>
    <row r="75" spans="3:17" x14ac:dyDescent="0.3">
      <c r="F75" s="1">
        <v>0</v>
      </c>
      <c r="G75" s="6">
        <v>5.8823529411764705E-2</v>
      </c>
      <c r="H75" s="11">
        <v>7.2961608581887355E-2</v>
      </c>
    </row>
    <row r="76" spans="3:17" x14ac:dyDescent="0.3">
      <c r="F76" s="1">
        <v>-5.1073126007321147E-2</v>
      </c>
      <c r="G76" s="6">
        <v>0</v>
      </c>
      <c r="H76" s="11">
        <v>5.8823529411764705E-2</v>
      </c>
    </row>
    <row r="77" spans="3:17" x14ac:dyDescent="0.3">
      <c r="F77" s="12">
        <v>0</v>
      </c>
      <c r="G77" s="13">
        <v>5.8823529411764705E-2</v>
      </c>
      <c r="H77" s="14">
        <v>-5.1073126007321147E-2</v>
      </c>
    </row>
    <row r="78" spans="3:17" x14ac:dyDescent="0.3">
      <c r="J78" t="s">
        <v>30</v>
      </c>
    </row>
    <row r="79" spans="3:17" x14ac:dyDescent="0.3">
      <c r="E79" t="s">
        <v>29</v>
      </c>
      <c r="F79" s="8">
        <f t="array" ref="F79:H86">MMULT(F70:H77,O26:Q28)</f>
        <v>-16837294288.127851</v>
      </c>
      <c r="G79" s="9">
        <v>-5051188286.4383554</v>
      </c>
      <c r="H79" s="10">
        <v>-4751131221.7194567</v>
      </c>
      <c r="J79" s="8">
        <f t="array" ref="J79:Q86">MMULT(F79:H86,F66:M68)</f>
        <v>1507954382.5883999</v>
      </c>
      <c r="K79" s="9">
        <v>643778899.25194716</v>
      </c>
      <c r="L79" s="9">
        <v>-580454945.6399343</v>
      </c>
      <c r="M79" s="9">
        <v>54473599.167472452</v>
      </c>
      <c r="N79" s="9">
        <v>-1507954382.5883999</v>
      </c>
      <c r="O79" s="9">
        <v>-643778899.25194716</v>
      </c>
      <c r="P79" s="9">
        <v>580454945.6399343</v>
      </c>
      <c r="Q79" s="10">
        <v>-54473599.167472452</v>
      </c>
    </row>
    <row r="80" spans="3:17" x14ac:dyDescent="0.3">
      <c r="F80" s="1">
        <v>-4072398190.0452485</v>
      </c>
      <c r="G80" s="6">
        <v>-13574660633.484163</v>
      </c>
      <c r="H80" s="11">
        <v>-5893053000.8447475</v>
      </c>
      <c r="J80" s="1">
        <v>643778899.25194716</v>
      </c>
      <c r="K80" s="6">
        <v>1228476075.4284313</v>
      </c>
      <c r="L80" s="6">
        <v>138660070.60811174</v>
      </c>
      <c r="M80" s="6">
        <v>497532810.54851437</v>
      </c>
      <c r="N80" s="6">
        <v>-643778899.25194716</v>
      </c>
      <c r="O80" s="6">
        <v>-1228476075.4284313</v>
      </c>
      <c r="P80" s="6">
        <v>-138660070.60811174</v>
      </c>
      <c r="Q80" s="11">
        <v>-497532810.54851437</v>
      </c>
    </row>
    <row r="81" spans="6:18" x14ac:dyDescent="0.3">
      <c r="F81" s="1">
        <v>11786106001.689495</v>
      </c>
      <c r="G81" s="6">
        <v>3535831800.5068483</v>
      </c>
      <c r="H81" s="11">
        <v>-4751131221.7194567</v>
      </c>
      <c r="J81" s="1">
        <v>-580454945.6399343</v>
      </c>
      <c r="K81" s="6">
        <v>138660070.60811174</v>
      </c>
      <c r="L81" s="6">
        <v>881431584.11989963</v>
      </c>
      <c r="M81" s="6">
        <v>-450645229.47636306</v>
      </c>
      <c r="N81" s="6">
        <v>580454945.6399343</v>
      </c>
      <c r="O81" s="6">
        <v>-138660070.60811174</v>
      </c>
      <c r="P81" s="6">
        <v>-881431584.11989963</v>
      </c>
      <c r="Q81" s="11">
        <v>450645229.47636306</v>
      </c>
    </row>
    <row r="82" spans="6:18" x14ac:dyDescent="0.3">
      <c r="F82" s="1">
        <v>-4072398190.0452485</v>
      </c>
      <c r="G82" s="6">
        <v>-13574660633.484163</v>
      </c>
      <c r="H82" s="11">
        <v>4125137100.5913229</v>
      </c>
      <c r="J82" s="1">
        <v>54473599.167472482</v>
      </c>
      <c r="K82" s="6">
        <v>497532810.54851437</v>
      </c>
      <c r="L82" s="6">
        <v>-450645229.476363</v>
      </c>
      <c r="M82" s="6">
        <v>1009193095.9644562</v>
      </c>
      <c r="N82" s="6">
        <v>-54473599.167472482</v>
      </c>
      <c r="O82" s="6">
        <v>-497532810.54851437</v>
      </c>
      <c r="P82" s="6">
        <v>450645229.476363</v>
      </c>
      <c r="Q82" s="11">
        <v>-1009193095.9644562</v>
      </c>
    </row>
    <row r="83" spans="6:18" x14ac:dyDescent="0.3">
      <c r="F83" s="1">
        <v>16837294288.127851</v>
      </c>
      <c r="G83" s="6">
        <v>5051188286.4383554</v>
      </c>
      <c r="H83" s="11">
        <v>4751131221.7194567</v>
      </c>
      <c r="J83" s="1">
        <v>-1507954382.5883999</v>
      </c>
      <c r="K83" s="6">
        <v>-643778899.25194716</v>
      </c>
      <c r="L83" s="6">
        <v>580454945.6399343</v>
      </c>
      <c r="M83" s="6">
        <v>-54473599.167472452</v>
      </c>
      <c r="N83" s="6">
        <v>1507954382.5883999</v>
      </c>
      <c r="O83" s="6">
        <v>643778899.25194716</v>
      </c>
      <c r="P83" s="6">
        <v>-580454945.6399343</v>
      </c>
      <c r="Q83" s="11">
        <v>54473599.167472452</v>
      </c>
    </row>
    <row r="84" spans="6:18" x14ac:dyDescent="0.3">
      <c r="F84" s="1">
        <v>4072398190.0452485</v>
      </c>
      <c r="G84" s="6">
        <v>13574660633.484163</v>
      </c>
      <c r="H84" s="11">
        <v>5893053000.8447475</v>
      </c>
      <c r="J84" s="1">
        <v>-643778899.25194716</v>
      </c>
      <c r="K84" s="6">
        <v>-1228476075.4284313</v>
      </c>
      <c r="L84" s="6">
        <v>-138660070.60811174</v>
      </c>
      <c r="M84" s="6">
        <v>-497532810.54851437</v>
      </c>
      <c r="N84" s="6">
        <v>643778899.25194716</v>
      </c>
      <c r="O84" s="6">
        <v>1228476075.4284313</v>
      </c>
      <c r="P84" s="6">
        <v>138660070.60811174</v>
      </c>
      <c r="Q84" s="11">
        <v>497532810.54851437</v>
      </c>
    </row>
    <row r="85" spans="6:18" x14ac:dyDescent="0.3">
      <c r="F85" s="1">
        <v>-11786106001.689495</v>
      </c>
      <c r="G85" s="6">
        <v>-3535831800.5068483</v>
      </c>
      <c r="H85" s="11">
        <v>4751131221.7194567</v>
      </c>
      <c r="J85" s="1">
        <v>580454945.6399343</v>
      </c>
      <c r="K85" s="6">
        <v>-138660070.60811174</v>
      </c>
      <c r="L85" s="6">
        <v>-881431584.11989963</v>
      </c>
      <c r="M85" s="6">
        <v>450645229.47636306</v>
      </c>
      <c r="N85" s="6">
        <v>-580454945.6399343</v>
      </c>
      <c r="O85" s="6">
        <v>138660070.60811174</v>
      </c>
      <c r="P85" s="6">
        <v>881431584.11989963</v>
      </c>
      <c r="Q85" s="11">
        <v>-450645229.47636306</v>
      </c>
    </row>
    <row r="86" spans="6:18" x14ac:dyDescent="0.3">
      <c r="F86" s="12">
        <v>4072398190.0452485</v>
      </c>
      <c r="G86" s="13">
        <v>13574660633.484163</v>
      </c>
      <c r="H86" s="14">
        <v>-4125137100.5913229</v>
      </c>
      <c r="J86" s="12">
        <v>-54473599.167472482</v>
      </c>
      <c r="K86" s="13">
        <v>-497532810.54851437</v>
      </c>
      <c r="L86" s="13">
        <v>450645229.476363</v>
      </c>
      <c r="M86" s="13">
        <v>-1009193095.9644562</v>
      </c>
      <c r="N86" s="13">
        <v>54473599.167472482</v>
      </c>
      <c r="O86" s="13">
        <v>497532810.54851437</v>
      </c>
      <c r="P86" s="13">
        <v>-450645229.476363</v>
      </c>
      <c r="Q86" s="14">
        <v>1009193095.9644562</v>
      </c>
    </row>
    <row r="87" spans="6:18" x14ac:dyDescent="0.3">
      <c r="J87" t="s">
        <v>37</v>
      </c>
    </row>
    <row r="88" spans="6:18" x14ac:dyDescent="0.3">
      <c r="I88" t="s">
        <v>38</v>
      </c>
      <c r="J88" s="8">
        <f>J79*$P$41*$I$30</f>
        <v>10333889369.338469</v>
      </c>
      <c r="K88" s="8">
        <f t="shared" ref="K88:Q88" si="8">K79*$P$41*$I$30</f>
        <v>4411764705.8823538</v>
      </c>
      <c r="L88" s="8">
        <f t="shared" si="8"/>
        <v>-3977810775.5702066</v>
      </c>
      <c r="M88" s="8">
        <f t="shared" si="8"/>
        <v>373303167.42081451</v>
      </c>
      <c r="N88" s="8">
        <f t="shared" si="8"/>
        <v>-10333889369.338469</v>
      </c>
      <c r="O88" s="8">
        <f t="shared" si="8"/>
        <v>-4411764705.8823538</v>
      </c>
      <c r="P88" s="8">
        <f t="shared" si="8"/>
        <v>3977810775.5702066</v>
      </c>
      <c r="Q88" s="8">
        <f t="shared" si="8"/>
        <v>-373303167.42081451</v>
      </c>
      <c r="R88" s="36" t="s">
        <v>67</v>
      </c>
    </row>
    <row r="89" spans="6:18" x14ac:dyDescent="0.3">
      <c r="J89" s="8">
        <f t="shared" ref="J89:Q95" si="9">J80*$P$41*$I$30</f>
        <v>4411764705.8823538</v>
      </c>
      <c r="K89" s="8">
        <f t="shared" si="9"/>
        <v>8418647144.0639229</v>
      </c>
      <c r="L89" s="8">
        <f t="shared" si="9"/>
        <v>950226244.34389174</v>
      </c>
      <c r="M89" s="8">
        <f t="shared" si="9"/>
        <v>3409552093.3458862</v>
      </c>
      <c r="N89" s="8">
        <f t="shared" si="9"/>
        <v>-4411764705.8823538</v>
      </c>
      <c r="O89" s="8">
        <f t="shared" si="9"/>
        <v>-8418647144.0639229</v>
      </c>
      <c r="P89" s="8">
        <f t="shared" si="9"/>
        <v>-950226244.34389174</v>
      </c>
      <c r="Q89" s="8">
        <f t="shared" si="9"/>
        <v>-3409552093.3458862</v>
      </c>
    </row>
    <row r="90" spans="6:18" x14ac:dyDescent="0.3">
      <c r="J90" s="8">
        <f t="shared" si="9"/>
        <v>-3977810775.5702066</v>
      </c>
      <c r="K90" s="8">
        <f t="shared" si="9"/>
        <v>950226244.34389174</v>
      </c>
      <c r="L90" s="8">
        <f t="shared" si="9"/>
        <v>6040379325.8658657</v>
      </c>
      <c r="M90" s="8">
        <f t="shared" si="9"/>
        <v>-3088235294.1176472</v>
      </c>
      <c r="N90" s="8">
        <f t="shared" si="9"/>
        <v>3977810775.5702066</v>
      </c>
      <c r="O90" s="8">
        <f t="shared" si="9"/>
        <v>-950226244.34389174</v>
      </c>
      <c r="P90" s="8">
        <f t="shared" si="9"/>
        <v>-6040379325.8658657</v>
      </c>
      <c r="Q90" s="8">
        <f t="shared" si="9"/>
        <v>3088235294.1176472</v>
      </c>
    </row>
    <row r="91" spans="6:18" x14ac:dyDescent="0.3">
      <c r="J91" s="8">
        <f t="shared" si="9"/>
        <v>373303167.42081469</v>
      </c>
      <c r="K91" s="8">
        <f t="shared" si="9"/>
        <v>3409552093.3458862</v>
      </c>
      <c r="L91" s="8">
        <f t="shared" si="9"/>
        <v>-3088235294.1176472</v>
      </c>
      <c r="M91" s="8">
        <f t="shared" si="9"/>
        <v>6915918628.8485107</v>
      </c>
      <c r="N91" s="8">
        <f t="shared" si="9"/>
        <v>-373303167.42081469</v>
      </c>
      <c r="O91" s="8">
        <f t="shared" si="9"/>
        <v>-3409552093.3458862</v>
      </c>
      <c r="P91" s="8">
        <f t="shared" si="9"/>
        <v>3088235294.1176472</v>
      </c>
      <c r="Q91" s="8">
        <f t="shared" si="9"/>
        <v>-6915918628.8485107</v>
      </c>
    </row>
    <row r="92" spans="6:18" x14ac:dyDescent="0.3">
      <c r="J92" s="8">
        <f t="shared" si="9"/>
        <v>-10333889369.338469</v>
      </c>
      <c r="K92" s="8">
        <f t="shared" si="9"/>
        <v>-4411764705.8823538</v>
      </c>
      <c r="L92" s="8">
        <f t="shared" si="9"/>
        <v>3977810775.5702066</v>
      </c>
      <c r="M92" s="8">
        <f t="shared" si="9"/>
        <v>-373303167.42081451</v>
      </c>
      <c r="N92" s="8">
        <f t="shared" si="9"/>
        <v>10333889369.338469</v>
      </c>
      <c r="O92" s="8">
        <f t="shared" si="9"/>
        <v>4411764705.8823538</v>
      </c>
      <c r="P92" s="8">
        <f t="shared" si="9"/>
        <v>-3977810775.5702066</v>
      </c>
      <c r="Q92" s="8">
        <f t="shared" si="9"/>
        <v>373303167.42081451</v>
      </c>
    </row>
    <row r="93" spans="6:18" x14ac:dyDescent="0.3">
      <c r="J93" s="8">
        <f t="shared" si="9"/>
        <v>-4411764705.8823538</v>
      </c>
      <c r="K93" s="8">
        <f t="shared" si="9"/>
        <v>-8418647144.0639229</v>
      </c>
      <c r="L93" s="8">
        <f t="shared" si="9"/>
        <v>-950226244.34389174</v>
      </c>
      <c r="M93" s="8">
        <f t="shared" si="9"/>
        <v>-3409552093.3458862</v>
      </c>
      <c r="N93" s="8">
        <f t="shared" si="9"/>
        <v>4411764705.8823538</v>
      </c>
      <c r="O93" s="8">
        <f t="shared" si="9"/>
        <v>8418647144.0639229</v>
      </c>
      <c r="P93" s="8">
        <f t="shared" si="9"/>
        <v>950226244.34389174</v>
      </c>
      <c r="Q93" s="8">
        <f t="shared" si="9"/>
        <v>3409552093.3458862</v>
      </c>
    </row>
    <row r="94" spans="6:18" x14ac:dyDescent="0.3">
      <c r="J94" s="8">
        <f t="shared" si="9"/>
        <v>3977810775.5702066</v>
      </c>
      <c r="K94" s="8">
        <f t="shared" si="9"/>
        <v>-950226244.34389174</v>
      </c>
      <c r="L94" s="8">
        <f t="shared" si="9"/>
        <v>-6040379325.8658657</v>
      </c>
      <c r="M94" s="8">
        <f t="shared" si="9"/>
        <v>3088235294.1176472</v>
      </c>
      <c r="N94" s="8">
        <f t="shared" si="9"/>
        <v>-3977810775.5702066</v>
      </c>
      <c r="O94" s="8">
        <f t="shared" si="9"/>
        <v>950226244.34389174</v>
      </c>
      <c r="P94" s="8">
        <f t="shared" si="9"/>
        <v>6040379325.8658657</v>
      </c>
      <c r="Q94" s="8">
        <f t="shared" si="9"/>
        <v>-3088235294.1176472</v>
      </c>
    </row>
    <row r="95" spans="6:18" x14ac:dyDescent="0.3">
      <c r="J95" s="8">
        <f t="shared" si="9"/>
        <v>-373303167.42081469</v>
      </c>
      <c r="K95" s="8">
        <f t="shared" si="9"/>
        <v>-3409552093.3458862</v>
      </c>
      <c r="L95" s="8">
        <f t="shared" si="9"/>
        <v>3088235294.1176472</v>
      </c>
      <c r="M95" s="8">
        <f t="shared" si="9"/>
        <v>-6915918628.8485107</v>
      </c>
      <c r="N95" s="8">
        <f t="shared" si="9"/>
        <v>373303167.42081469</v>
      </c>
      <c r="O95" s="8">
        <f t="shared" si="9"/>
        <v>3409552093.3458862</v>
      </c>
      <c r="P95" s="8">
        <f t="shared" si="9"/>
        <v>-3088235294.1176472</v>
      </c>
      <c r="Q95" s="8">
        <f t="shared" si="9"/>
        <v>6915918628.8485107</v>
      </c>
    </row>
    <row r="97" spans="1:20" x14ac:dyDescent="0.3">
      <c r="A97" t="s">
        <v>69</v>
      </c>
      <c r="B97" t="s">
        <v>68</v>
      </c>
    </row>
    <row r="101" spans="1:20" x14ac:dyDescent="0.3">
      <c r="M101" t="s">
        <v>49</v>
      </c>
    </row>
    <row r="102" spans="1:20" x14ac:dyDescent="0.3">
      <c r="M102" s="8">
        <f t="array" ref="M102:M104">TRANSPOSE(X32:Z32)</f>
        <v>0.49613893835683387</v>
      </c>
      <c r="N102" s="10">
        <f t="array" ref="N102:N104">TRANSPOSE(X34:Z34)</f>
        <v>0</v>
      </c>
    </row>
    <row r="103" spans="1:20" x14ac:dyDescent="0.3">
      <c r="M103" s="1">
        <v>0.8682431421244593</v>
      </c>
      <c r="N103" s="11">
        <v>0</v>
      </c>
    </row>
    <row r="104" spans="1:20" x14ac:dyDescent="0.3">
      <c r="M104" s="12">
        <v>0</v>
      </c>
      <c r="N104" s="14">
        <v>1</v>
      </c>
    </row>
    <row r="106" spans="1:20" x14ac:dyDescent="0.3">
      <c r="M106" t="s">
        <v>50</v>
      </c>
      <c r="N106" t="s">
        <v>53</v>
      </c>
    </row>
    <row r="107" spans="1:20" x14ac:dyDescent="0.3">
      <c r="M107" s="26">
        <f>M102</f>
        <v>0.49613893835683387</v>
      </c>
      <c r="N107" s="27">
        <f>N102</f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10">
        <v>0</v>
      </c>
    </row>
    <row r="108" spans="1:20" x14ac:dyDescent="0.3">
      <c r="M108" s="28">
        <f t="shared" ref="M108:N108" si="10">M103</f>
        <v>0.8682431421244593</v>
      </c>
      <c r="N108" s="20">
        <f t="shared" si="10"/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10">
        <v>0</v>
      </c>
    </row>
    <row r="109" spans="1:20" x14ac:dyDescent="0.3">
      <c r="M109" s="28">
        <f t="shared" ref="M109:N109" si="11">M104</f>
        <v>0</v>
      </c>
      <c r="N109" s="20">
        <f t="shared" si="11"/>
        <v>1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10">
        <v>0</v>
      </c>
    </row>
    <row r="110" spans="1:20" x14ac:dyDescent="0.3">
      <c r="M110" s="1">
        <v>0</v>
      </c>
      <c r="N110" s="1">
        <v>0</v>
      </c>
      <c r="O110" s="20">
        <f>M102</f>
        <v>0.49613893835683387</v>
      </c>
      <c r="P110" s="20">
        <f>N102</f>
        <v>0</v>
      </c>
      <c r="Q110" s="9">
        <v>0</v>
      </c>
      <c r="R110" s="9">
        <v>0</v>
      </c>
      <c r="S110" s="9">
        <v>0</v>
      </c>
      <c r="T110" s="10">
        <v>0</v>
      </c>
    </row>
    <row r="111" spans="1:20" x14ac:dyDescent="0.3">
      <c r="M111" s="1">
        <v>0</v>
      </c>
      <c r="N111" s="1">
        <v>0</v>
      </c>
      <c r="O111" s="20">
        <f t="shared" ref="O111:P111" si="12">M103</f>
        <v>0.8682431421244593</v>
      </c>
      <c r="P111" s="20">
        <f t="shared" si="12"/>
        <v>0</v>
      </c>
      <c r="Q111" s="9">
        <v>0</v>
      </c>
      <c r="R111" s="9">
        <v>0</v>
      </c>
      <c r="S111" s="9">
        <v>0</v>
      </c>
      <c r="T111" s="10">
        <v>0</v>
      </c>
    </row>
    <row r="112" spans="1:20" x14ac:dyDescent="0.3">
      <c r="M112" s="1">
        <v>0</v>
      </c>
      <c r="N112" s="1">
        <v>0</v>
      </c>
      <c r="O112" s="20">
        <f t="shared" ref="O112:P112" si="13">M104</f>
        <v>0</v>
      </c>
      <c r="P112" s="20">
        <f t="shared" si="13"/>
        <v>1</v>
      </c>
      <c r="Q112" s="9">
        <v>0</v>
      </c>
      <c r="R112" s="9">
        <v>0</v>
      </c>
      <c r="S112" s="9">
        <v>0</v>
      </c>
      <c r="T112" s="10">
        <v>0</v>
      </c>
    </row>
    <row r="113" spans="13:24" x14ac:dyDescent="0.3">
      <c r="M113" s="1">
        <v>0</v>
      </c>
      <c r="N113" s="1">
        <v>0</v>
      </c>
      <c r="O113" s="6">
        <v>0</v>
      </c>
      <c r="P113" s="6">
        <v>0</v>
      </c>
      <c r="Q113" s="20">
        <f>M102</f>
        <v>0.49613893835683387</v>
      </c>
      <c r="R113" s="20">
        <f>N102</f>
        <v>0</v>
      </c>
      <c r="S113" s="9">
        <v>0</v>
      </c>
      <c r="T113" s="10">
        <v>0</v>
      </c>
    </row>
    <row r="114" spans="13:24" x14ac:dyDescent="0.3">
      <c r="M114" s="1">
        <v>0</v>
      </c>
      <c r="N114" s="1">
        <v>0</v>
      </c>
      <c r="O114" s="6">
        <v>0</v>
      </c>
      <c r="P114" s="6">
        <v>0</v>
      </c>
      <c r="Q114" s="20">
        <f t="shared" ref="Q114:R114" si="14">M103</f>
        <v>0.8682431421244593</v>
      </c>
      <c r="R114" s="20">
        <f t="shared" si="14"/>
        <v>0</v>
      </c>
      <c r="S114" s="9">
        <v>0</v>
      </c>
      <c r="T114" s="10">
        <v>0</v>
      </c>
    </row>
    <row r="115" spans="13:24" x14ac:dyDescent="0.3">
      <c r="M115" s="1">
        <v>0</v>
      </c>
      <c r="N115" s="1">
        <v>0</v>
      </c>
      <c r="O115" s="6">
        <v>0</v>
      </c>
      <c r="P115" s="6">
        <v>0</v>
      </c>
      <c r="Q115" s="20">
        <f t="shared" ref="Q115:R115" si="15">M104</f>
        <v>0</v>
      </c>
      <c r="R115" s="20">
        <f t="shared" si="15"/>
        <v>1</v>
      </c>
      <c r="S115" s="9">
        <v>0</v>
      </c>
      <c r="T115" s="10">
        <v>0</v>
      </c>
    </row>
    <row r="116" spans="13:24" x14ac:dyDescent="0.3">
      <c r="M116" s="1">
        <v>0</v>
      </c>
      <c r="N116" s="1">
        <v>0</v>
      </c>
      <c r="O116" s="6">
        <v>0</v>
      </c>
      <c r="P116" s="6">
        <v>0</v>
      </c>
      <c r="Q116" s="25">
        <v>0</v>
      </c>
      <c r="R116" s="25">
        <v>0</v>
      </c>
      <c r="S116" s="20">
        <f>M102</f>
        <v>0.49613893835683387</v>
      </c>
      <c r="T116" s="29">
        <f>N102</f>
        <v>0</v>
      </c>
    </row>
    <row r="117" spans="13:24" x14ac:dyDescent="0.3">
      <c r="M117" s="1">
        <v>0</v>
      </c>
      <c r="N117" s="1">
        <v>0</v>
      </c>
      <c r="O117" s="6">
        <v>0</v>
      </c>
      <c r="P117" s="6">
        <v>0</v>
      </c>
      <c r="Q117" s="25">
        <v>0</v>
      </c>
      <c r="R117" s="25">
        <v>0</v>
      </c>
      <c r="S117" s="20">
        <f t="shared" ref="S117:T117" si="16">M103</f>
        <v>0.8682431421244593</v>
      </c>
      <c r="T117" s="29">
        <f t="shared" si="16"/>
        <v>0</v>
      </c>
    </row>
    <row r="118" spans="13:24" x14ac:dyDescent="0.3">
      <c r="M118" s="12">
        <v>0</v>
      </c>
      <c r="N118" s="12">
        <v>0</v>
      </c>
      <c r="O118" s="13">
        <v>0</v>
      </c>
      <c r="P118" s="13">
        <v>0</v>
      </c>
      <c r="Q118" s="32">
        <v>0</v>
      </c>
      <c r="R118" s="32">
        <v>0</v>
      </c>
      <c r="S118" s="30">
        <f t="shared" ref="S118:T118" si="17">M104</f>
        <v>0</v>
      </c>
      <c r="T118" s="31">
        <f t="shared" si="17"/>
        <v>1</v>
      </c>
    </row>
    <row r="120" spans="13:24" x14ac:dyDescent="0.3">
      <c r="M120" t="s">
        <v>51</v>
      </c>
      <c r="N120" t="s">
        <v>52</v>
      </c>
    </row>
    <row r="121" spans="13:24" x14ac:dyDescent="0.3">
      <c r="M121" s="8">
        <f t="array" ref="M121:X128">TRANSPOSE(M107:T118)</f>
        <v>0.49613893835683387</v>
      </c>
      <c r="N121" s="9">
        <v>0.8682431421244593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10">
        <v>0</v>
      </c>
    </row>
    <row r="122" spans="13:24" x14ac:dyDescent="0.3">
      <c r="M122" s="1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11">
        <v>0</v>
      </c>
    </row>
    <row r="123" spans="13:24" x14ac:dyDescent="0.3">
      <c r="M123" s="1">
        <v>0</v>
      </c>
      <c r="N123" s="6">
        <v>0</v>
      </c>
      <c r="O123" s="6">
        <v>0</v>
      </c>
      <c r="P123" s="6">
        <v>0.49613893835683387</v>
      </c>
      <c r="Q123" s="6">
        <v>0.8682431421244593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11">
        <v>0</v>
      </c>
    </row>
    <row r="124" spans="13:24" x14ac:dyDescent="0.3">
      <c r="M124" s="1">
        <v>0</v>
      </c>
      <c r="N124" s="6">
        <v>0</v>
      </c>
      <c r="O124" s="6">
        <v>0</v>
      </c>
      <c r="P124" s="6">
        <v>0</v>
      </c>
      <c r="Q124" s="6">
        <v>0</v>
      </c>
      <c r="R124" s="6">
        <v>1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11">
        <v>0</v>
      </c>
    </row>
    <row r="125" spans="13:24" x14ac:dyDescent="0.3">
      <c r="M125" s="1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0.49613893835683387</v>
      </c>
      <c r="T125" s="6">
        <v>0.8682431421244593</v>
      </c>
      <c r="U125" s="6">
        <v>0</v>
      </c>
      <c r="V125" s="6">
        <v>0</v>
      </c>
      <c r="W125" s="6">
        <v>0</v>
      </c>
      <c r="X125" s="11">
        <v>0</v>
      </c>
    </row>
    <row r="126" spans="13:24" x14ac:dyDescent="0.3">
      <c r="M126" s="1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11">
        <v>0</v>
      </c>
    </row>
    <row r="127" spans="13:24" x14ac:dyDescent="0.3">
      <c r="M127" s="1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0.49613893835683387</v>
      </c>
      <c r="W127" s="6">
        <v>0.8682431421244593</v>
      </c>
      <c r="X127" s="11">
        <v>0</v>
      </c>
    </row>
    <row r="128" spans="13:24" x14ac:dyDescent="0.3">
      <c r="M128" s="12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4">
        <v>1</v>
      </c>
    </row>
    <row r="130" spans="12:24" x14ac:dyDescent="0.3">
      <c r="M130" t="s">
        <v>54</v>
      </c>
      <c r="N130" t="s">
        <v>53</v>
      </c>
    </row>
    <row r="131" spans="12:24" x14ac:dyDescent="0.3">
      <c r="L131">
        <v>1</v>
      </c>
      <c r="M131" s="8">
        <f t="array" ref="M131:T142">MMULT(M107:T118,J88:Q95)</f>
        <v>5127044900.800559</v>
      </c>
      <c r="N131" s="9">
        <v>2188848257.4566202</v>
      </c>
      <c r="O131" s="9">
        <v>-1973546815.1757762</v>
      </c>
      <c r="P131" s="9">
        <v>185210237.16940632</v>
      </c>
      <c r="Q131" s="9">
        <v>-5127044900.800559</v>
      </c>
      <c r="R131" s="9">
        <v>-2188848257.4566202</v>
      </c>
      <c r="S131" s="9">
        <v>1973546815.1757762</v>
      </c>
      <c r="T131" s="10">
        <v>-185210237.16940632</v>
      </c>
    </row>
    <row r="132" spans="12:24" x14ac:dyDescent="0.3">
      <c r="L132">
        <v>2</v>
      </c>
      <c r="M132" s="1">
        <v>8972328576.4009781</v>
      </c>
      <c r="N132" s="6">
        <v>3830484450.5490861</v>
      </c>
      <c r="O132" s="6">
        <v>-3453706926.5576086</v>
      </c>
      <c r="P132" s="6">
        <v>324117915.04646111</v>
      </c>
      <c r="Q132" s="6">
        <v>-8972328576.4009781</v>
      </c>
      <c r="R132" s="6">
        <v>-3830484450.5490861</v>
      </c>
      <c r="S132" s="6">
        <v>3453706926.5576086</v>
      </c>
      <c r="T132" s="11">
        <v>-324117915.04646111</v>
      </c>
    </row>
    <row r="133" spans="12:24" x14ac:dyDescent="0.3">
      <c r="L133">
        <v>3</v>
      </c>
      <c r="M133" s="1">
        <v>4411764705.8823538</v>
      </c>
      <c r="N133" s="6">
        <v>8418647144.0639229</v>
      </c>
      <c r="O133" s="6">
        <v>950226244.34389174</v>
      </c>
      <c r="P133" s="6">
        <v>3409552093.3458862</v>
      </c>
      <c r="Q133" s="6">
        <v>-4411764705.8823538</v>
      </c>
      <c r="R133" s="6">
        <v>-8418647144.0639229</v>
      </c>
      <c r="S133" s="6">
        <v>-950226244.34389174</v>
      </c>
      <c r="T133" s="11">
        <v>-3409552093.3458862</v>
      </c>
    </row>
    <row r="134" spans="12:24" x14ac:dyDescent="0.3">
      <c r="L134">
        <v>4</v>
      </c>
      <c r="M134" s="1">
        <v>-1973546815.1757762</v>
      </c>
      <c r="N134" s="6">
        <v>471444240.06757987</v>
      </c>
      <c r="O134" s="6">
        <v>2996867386.0076585</v>
      </c>
      <c r="P134" s="6">
        <v>-1532193780.2196341</v>
      </c>
      <c r="Q134" s="6">
        <v>1973546815.1757762</v>
      </c>
      <c r="R134" s="6">
        <v>-471444240.06757987</v>
      </c>
      <c r="S134" s="6">
        <v>-2996867386.0076585</v>
      </c>
      <c r="T134" s="11">
        <v>1532193780.2196341</v>
      </c>
    </row>
    <row r="135" spans="12:24" x14ac:dyDescent="0.3">
      <c r="L135">
        <v>5</v>
      </c>
      <c r="M135" s="1">
        <v>-3453706926.5576086</v>
      </c>
      <c r="N135" s="6">
        <v>825027420.11826479</v>
      </c>
      <c r="O135" s="6">
        <v>5244517925.5134029</v>
      </c>
      <c r="P135" s="6">
        <v>-2681339115.3843598</v>
      </c>
      <c r="Q135" s="6">
        <v>3453706926.5576086</v>
      </c>
      <c r="R135" s="6">
        <v>-825027420.11826479</v>
      </c>
      <c r="S135" s="6">
        <v>-5244517925.5134029</v>
      </c>
      <c r="T135" s="11">
        <v>2681339115.3843598</v>
      </c>
    </row>
    <row r="136" spans="12:24" x14ac:dyDescent="0.3">
      <c r="L136">
        <v>6</v>
      </c>
      <c r="M136" s="1">
        <v>373303167.42081469</v>
      </c>
      <c r="N136" s="6">
        <v>3409552093.3458862</v>
      </c>
      <c r="O136" s="6">
        <v>-3088235294.1176472</v>
      </c>
      <c r="P136" s="6">
        <v>6915918628.8485107</v>
      </c>
      <c r="Q136" s="6">
        <v>-373303167.42081469</v>
      </c>
      <c r="R136" s="6">
        <v>-3409552093.3458862</v>
      </c>
      <c r="S136" s="6">
        <v>3088235294.1176472</v>
      </c>
      <c r="T136" s="11">
        <v>-6915918628.8485107</v>
      </c>
    </row>
    <row r="137" spans="12:24" x14ac:dyDescent="0.3">
      <c r="L137">
        <v>7</v>
      </c>
      <c r="M137" s="1">
        <v>-5127044900.800559</v>
      </c>
      <c r="N137" s="6">
        <v>-2188848257.4566202</v>
      </c>
      <c r="O137" s="6">
        <v>1973546815.1757762</v>
      </c>
      <c r="P137" s="6">
        <v>-185210237.16940632</v>
      </c>
      <c r="Q137" s="6">
        <v>5127044900.800559</v>
      </c>
      <c r="R137" s="6">
        <v>2188848257.4566202</v>
      </c>
      <c r="S137" s="6">
        <v>-1973546815.1757762</v>
      </c>
      <c r="T137" s="11">
        <v>185210237.16940632</v>
      </c>
    </row>
    <row r="138" spans="12:24" x14ac:dyDescent="0.3">
      <c r="L138">
        <v>8</v>
      </c>
      <c r="M138" s="1">
        <v>-8972328576.4009781</v>
      </c>
      <c r="N138" s="6">
        <v>-3830484450.5490861</v>
      </c>
      <c r="O138" s="6">
        <v>3453706926.5576086</v>
      </c>
      <c r="P138" s="6">
        <v>-324117915.04646111</v>
      </c>
      <c r="Q138" s="6">
        <v>8972328576.4009781</v>
      </c>
      <c r="R138" s="6">
        <v>3830484450.5490861</v>
      </c>
      <c r="S138" s="6">
        <v>-3453706926.5576086</v>
      </c>
      <c r="T138" s="11">
        <v>324117915.04646111</v>
      </c>
    </row>
    <row r="139" spans="12:24" x14ac:dyDescent="0.3">
      <c r="L139">
        <v>9</v>
      </c>
      <c r="M139" s="1">
        <v>-4411764705.8823538</v>
      </c>
      <c r="N139" s="6">
        <v>-8418647144.0639229</v>
      </c>
      <c r="O139" s="6">
        <v>-950226244.34389174</v>
      </c>
      <c r="P139" s="6">
        <v>-3409552093.3458862</v>
      </c>
      <c r="Q139" s="6">
        <v>4411764705.8823538</v>
      </c>
      <c r="R139" s="6">
        <v>8418647144.0639229</v>
      </c>
      <c r="S139" s="6">
        <v>950226244.34389174</v>
      </c>
      <c r="T139" s="11">
        <v>3409552093.3458862</v>
      </c>
    </row>
    <row r="140" spans="12:24" x14ac:dyDescent="0.3">
      <c r="L140">
        <v>10</v>
      </c>
      <c r="M140" s="1">
        <v>1973546815.1757762</v>
      </c>
      <c r="N140" s="6">
        <v>-471444240.06757987</v>
      </c>
      <c r="O140" s="6">
        <v>-2996867386.0076585</v>
      </c>
      <c r="P140" s="6">
        <v>1532193780.2196341</v>
      </c>
      <c r="Q140" s="6">
        <v>-1973546815.1757762</v>
      </c>
      <c r="R140" s="6">
        <v>471444240.06757987</v>
      </c>
      <c r="S140" s="6">
        <v>2996867386.0076585</v>
      </c>
      <c r="T140" s="11">
        <v>-1532193780.2196341</v>
      </c>
    </row>
    <row r="141" spans="12:24" x14ac:dyDescent="0.3">
      <c r="L141">
        <v>11</v>
      </c>
      <c r="M141" s="1">
        <v>3453706926.5576086</v>
      </c>
      <c r="N141" s="6">
        <v>-825027420.11826479</v>
      </c>
      <c r="O141" s="6">
        <v>-5244517925.5134029</v>
      </c>
      <c r="P141" s="6">
        <v>2681339115.3843598</v>
      </c>
      <c r="Q141" s="6">
        <v>-3453706926.5576086</v>
      </c>
      <c r="R141" s="6">
        <v>825027420.11826479</v>
      </c>
      <c r="S141" s="6">
        <v>5244517925.5134029</v>
      </c>
      <c r="T141" s="11">
        <v>-2681339115.3843598</v>
      </c>
    </row>
    <row r="142" spans="12:24" x14ac:dyDescent="0.3">
      <c r="L142">
        <v>12</v>
      </c>
      <c r="M142" s="12">
        <v>-373303167.42081469</v>
      </c>
      <c r="N142" s="13">
        <v>-3409552093.3458862</v>
      </c>
      <c r="O142" s="13">
        <v>3088235294.1176472</v>
      </c>
      <c r="P142" s="13">
        <v>-6915918628.8485107</v>
      </c>
      <c r="Q142" s="13">
        <v>373303167.42081469</v>
      </c>
      <c r="R142" s="13">
        <v>3409552093.3458862</v>
      </c>
      <c r="S142" s="13">
        <v>-3088235294.1176472</v>
      </c>
      <c r="T142" s="14">
        <v>6915918628.8485107</v>
      </c>
    </row>
    <row r="143" spans="12:24" x14ac:dyDescent="0.3">
      <c r="M143" t="s">
        <v>55</v>
      </c>
      <c r="N143" t="s">
        <v>56</v>
      </c>
    </row>
    <row r="144" spans="12:24" x14ac:dyDescent="0.3">
      <c r="L144">
        <v>1</v>
      </c>
      <c r="M144" s="8">
        <f t="array" ref="M144:X155">MMULT(M131:T142,M121:X128)</f>
        <v>2543726613.9910078</v>
      </c>
      <c r="N144" s="9">
        <v>4451521574.4842644</v>
      </c>
      <c r="O144" s="9">
        <v>2188848257.4566202</v>
      </c>
      <c r="P144" s="9">
        <v>-979153421.67882025</v>
      </c>
      <c r="Q144" s="9">
        <v>-1713518487.9379356</v>
      </c>
      <c r="R144" s="9">
        <v>185210237.16940632</v>
      </c>
      <c r="S144" s="9">
        <v>-2543726613.9910078</v>
      </c>
      <c r="T144" s="9">
        <v>-4451521574.4842644</v>
      </c>
      <c r="U144" s="9">
        <v>-2188848257.4566202</v>
      </c>
      <c r="V144" s="9">
        <v>979153421.67882025</v>
      </c>
      <c r="W144" s="9">
        <v>1713518487.9379356</v>
      </c>
      <c r="X144" s="10">
        <v>-185210237.16940632</v>
      </c>
    </row>
    <row r="145" spans="12:24" x14ac:dyDescent="0.3">
      <c r="L145">
        <v>2</v>
      </c>
      <c r="M145" s="1">
        <v>4451521574.4842634</v>
      </c>
      <c r="N145" s="6">
        <v>7790162755.3474617</v>
      </c>
      <c r="O145" s="6">
        <v>3830484450.5490861</v>
      </c>
      <c r="P145" s="6">
        <v>-1713518487.9379356</v>
      </c>
      <c r="Q145" s="6">
        <v>-2998657353.8913875</v>
      </c>
      <c r="R145" s="6">
        <v>324117915.04646111</v>
      </c>
      <c r="S145" s="6">
        <v>-4451521574.4842634</v>
      </c>
      <c r="T145" s="6">
        <v>-7790162755.3474617</v>
      </c>
      <c r="U145" s="6">
        <v>-3830484450.5490861</v>
      </c>
      <c r="V145" s="6">
        <v>1713518487.9379356</v>
      </c>
      <c r="W145" s="6">
        <v>2998657353.8913875</v>
      </c>
      <c r="X145" s="11">
        <v>-324117915.04646111</v>
      </c>
    </row>
    <row r="146" spans="12:24" x14ac:dyDescent="0.3">
      <c r="L146">
        <v>3</v>
      </c>
      <c r="M146" s="1">
        <v>2188848257.4566202</v>
      </c>
      <c r="N146" s="6">
        <v>3830484450.5490861</v>
      </c>
      <c r="O146" s="6">
        <v>8418647144.0639229</v>
      </c>
      <c r="P146" s="6">
        <v>471444240.06757987</v>
      </c>
      <c r="Q146" s="6">
        <v>825027420.11826479</v>
      </c>
      <c r="R146" s="6">
        <v>3409552093.3458862</v>
      </c>
      <c r="S146" s="6">
        <v>-2188848257.4566202</v>
      </c>
      <c r="T146" s="6">
        <v>-3830484450.5490861</v>
      </c>
      <c r="U146" s="6">
        <v>-8418647144.0639229</v>
      </c>
      <c r="V146" s="6">
        <v>-471444240.06757987</v>
      </c>
      <c r="W146" s="6">
        <v>-825027420.11826479</v>
      </c>
      <c r="X146" s="11">
        <v>-3409552093.3458862</v>
      </c>
    </row>
    <row r="147" spans="12:24" x14ac:dyDescent="0.3">
      <c r="L147">
        <v>4</v>
      </c>
      <c r="M147" s="1">
        <v>-979153421.67882025</v>
      </c>
      <c r="N147" s="6">
        <v>-1713518487.9379356</v>
      </c>
      <c r="O147" s="6">
        <v>471444240.06757987</v>
      </c>
      <c r="P147" s="6">
        <v>1486862603.2900596</v>
      </c>
      <c r="Q147" s="6">
        <v>2602009555.7576041</v>
      </c>
      <c r="R147" s="6">
        <v>-1532193780.2196341</v>
      </c>
      <c r="S147" s="6">
        <v>979153421.67882025</v>
      </c>
      <c r="T147" s="6">
        <v>1713518487.9379356</v>
      </c>
      <c r="U147" s="6">
        <v>-471444240.06757987</v>
      </c>
      <c r="V147" s="6">
        <v>-1486862603.2900596</v>
      </c>
      <c r="W147" s="6">
        <v>-2602009555.7576041</v>
      </c>
      <c r="X147" s="11">
        <v>1532193780.2196341</v>
      </c>
    </row>
    <row r="148" spans="12:24" x14ac:dyDescent="0.3">
      <c r="L148">
        <v>5</v>
      </c>
      <c r="M148" s="1">
        <v>-1713518487.9379356</v>
      </c>
      <c r="N148" s="6">
        <v>-2998657353.8913875</v>
      </c>
      <c r="O148" s="6">
        <v>825027420.11826479</v>
      </c>
      <c r="P148" s="6">
        <v>2602009555.7576046</v>
      </c>
      <c r="Q148" s="6">
        <v>4553516722.5758076</v>
      </c>
      <c r="R148" s="6">
        <v>-2681339115.3843598</v>
      </c>
      <c r="S148" s="6">
        <v>1713518487.9379356</v>
      </c>
      <c r="T148" s="6">
        <v>2998657353.8913875</v>
      </c>
      <c r="U148" s="6">
        <v>-825027420.11826479</v>
      </c>
      <c r="V148" s="6">
        <v>-2602009555.7576046</v>
      </c>
      <c r="W148" s="6">
        <v>-4553516722.5758076</v>
      </c>
      <c r="X148" s="11">
        <v>2681339115.3843598</v>
      </c>
    </row>
    <row r="149" spans="12:24" x14ac:dyDescent="0.3">
      <c r="L149">
        <v>6</v>
      </c>
      <c r="M149" s="1">
        <v>185210237.16940641</v>
      </c>
      <c r="N149" s="6">
        <v>324117915.04646122</v>
      </c>
      <c r="O149" s="6">
        <v>3409552093.3458862</v>
      </c>
      <c r="P149" s="6">
        <v>-1532193780.2196341</v>
      </c>
      <c r="Q149" s="6">
        <v>-2681339115.3843598</v>
      </c>
      <c r="R149" s="6">
        <v>6915918628.8485107</v>
      </c>
      <c r="S149" s="6">
        <v>-185210237.16940641</v>
      </c>
      <c r="T149" s="6">
        <v>-324117915.04646122</v>
      </c>
      <c r="U149" s="6">
        <v>-3409552093.3458862</v>
      </c>
      <c r="V149" s="6">
        <v>1532193780.2196341</v>
      </c>
      <c r="W149" s="6">
        <v>2681339115.3843598</v>
      </c>
      <c r="X149" s="11">
        <v>-6915918628.8485107</v>
      </c>
    </row>
    <row r="150" spans="12:24" x14ac:dyDescent="0.3">
      <c r="L150">
        <v>7</v>
      </c>
      <c r="M150" s="1">
        <v>-2543726613.9910078</v>
      </c>
      <c r="N150" s="6">
        <v>-4451521574.4842644</v>
      </c>
      <c r="O150" s="6">
        <v>-2188848257.4566202</v>
      </c>
      <c r="P150" s="6">
        <v>979153421.67882025</v>
      </c>
      <c r="Q150" s="6">
        <v>1713518487.9379356</v>
      </c>
      <c r="R150" s="6">
        <v>-185210237.16940632</v>
      </c>
      <c r="S150" s="6">
        <v>2543726613.9910078</v>
      </c>
      <c r="T150" s="6">
        <v>4451521574.4842644</v>
      </c>
      <c r="U150" s="6">
        <v>2188848257.4566202</v>
      </c>
      <c r="V150" s="6">
        <v>-979153421.67882025</v>
      </c>
      <c r="W150" s="6">
        <v>-1713518487.9379356</v>
      </c>
      <c r="X150" s="11">
        <v>185210237.16940632</v>
      </c>
    </row>
    <row r="151" spans="12:24" x14ac:dyDescent="0.3">
      <c r="L151">
        <v>8</v>
      </c>
      <c r="M151" s="1">
        <v>-4451521574.4842634</v>
      </c>
      <c r="N151" s="6">
        <v>-7790162755.3474617</v>
      </c>
      <c r="O151" s="6">
        <v>-3830484450.5490861</v>
      </c>
      <c r="P151" s="6">
        <v>1713518487.9379356</v>
      </c>
      <c r="Q151" s="6">
        <v>2998657353.8913875</v>
      </c>
      <c r="R151" s="6">
        <v>-324117915.04646111</v>
      </c>
      <c r="S151" s="6">
        <v>4451521574.4842634</v>
      </c>
      <c r="T151" s="6">
        <v>7790162755.3474617</v>
      </c>
      <c r="U151" s="6">
        <v>3830484450.5490861</v>
      </c>
      <c r="V151" s="6">
        <v>-1713518487.9379356</v>
      </c>
      <c r="W151" s="6">
        <v>-2998657353.8913875</v>
      </c>
      <c r="X151" s="11">
        <v>324117915.04646111</v>
      </c>
    </row>
    <row r="152" spans="12:24" x14ac:dyDescent="0.3">
      <c r="L152">
        <v>9</v>
      </c>
      <c r="M152" s="1">
        <v>-2188848257.4566202</v>
      </c>
      <c r="N152" s="6">
        <v>-3830484450.5490861</v>
      </c>
      <c r="O152" s="6">
        <v>-8418647144.0639229</v>
      </c>
      <c r="P152" s="6">
        <v>-471444240.06757987</v>
      </c>
      <c r="Q152" s="6">
        <v>-825027420.11826479</v>
      </c>
      <c r="R152" s="6">
        <v>-3409552093.3458862</v>
      </c>
      <c r="S152" s="6">
        <v>2188848257.4566202</v>
      </c>
      <c r="T152" s="6">
        <v>3830484450.5490861</v>
      </c>
      <c r="U152" s="6">
        <v>8418647144.0639229</v>
      </c>
      <c r="V152" s="6">
        <v>471444240.06757987</v>
      </c>
      <c r="W152" s="6">
        <v>825027420.11826479</v>
      </c>
      <c r="X152" s="11">
        <v>3409552093.3458862</v>
      </c>
    </row>
    <row r="153" spans="12:24" x14ac:dyDescent="0.3">
      <c r="L153">
        <v>10</v>
      </c>
      <c r="M153" s="1">
        <v>979153421.67882025</v>
      </c>
      <c r="N153" s="6">
        <v>1713518487.9379356</v>
      </c>
      <c r="O153" s="6">
        <v>-471444240.06757987</v>
      </c>
      <c r="P153" s="6">
        <v>-1486862603.2900596</v>
      </c>
      <c r="Q153" s="6">
        <v>-2602009555.7576041</v>
      </c>
      <c r="R153" s="6">
        <v>1532193780.2196341</v>
      </c>
      <c r="S153" s="6">
        <v>-979153421.67882025</v>
      </c>
      <c r="T153" s="6">
        <v>-1713518487.9379356</v>
      </c>
      <c r="U153" s="6">
        <v>471444240.06757987</v>
      </c>
      <c r="V153" s="6">
        <v>1486862603.2900596</v>
      </c>
      <c r="W153" s="6">
        <v>2602009555.7576041</v>
      </c>
      <c r="X153" s="11">
        <v>-1532193780.2196341</v>
      </c>
    </row>
    <row r="154" spans="12:24" x14ac:dyDescent="0.3">
      <c r="L154">
        <v>11</v>
      </c>
      <c r="M154" s="1">
        <v>1713518487.9379356</v>
      </c>
      <c r="N154" s="6">
        <v>2998657353.8913875</v>
      </c>
      <c r="O154" s="6">
        <v>-825027420.11826479</v>
      </c>
      <c r="P154" s="6">
        <v>-2602009555.7576046</v>
      </c>
      <c r="Q154" s="6">
        <v>-4553516722.5758076</v>
      </c>
      <c r="R154" s="6">
        <v>2681339115.3843598</v>
      </c>
      <c r="S154" s="6">
        <v>-1713518487.9379356</v>
      </c>
      <c r="T154" s="6">
        <v>-2998657353.8913875</v>
      </c>
      <c r="U154" s="6">
        <v>825027420.11826479</v>
      </c>
      <c r="V154" s="6">
        <v>2602009555.7576046</v>
      </c>
      <c r="W154" s="6">
        <v>4553516722.5758076</v>
      </c>
      <c r="X154" s="11">
        <v>-2681339115.3843598</v>
      </c>
    </row>
    <row r="155" spans="12:24" x14ac:dyDescent="0.3">
      <c r="L155">
        <v>12</v>
      </c>
      <c r="M155" s="12">
        <v>-185210237.16940641</v>
      </c>
      <c r="N155" s="13">
        <v>-324117915.04646122</v>
      </c>
      <c r="O155" s="13">
        <v>-3409552093.3458862</v>
      </c>
      <c r="P155" s="13">
        <v>1532193780.2196341</v>
      </c>
      <c r="Q155" s="13">
        <v>2681339115.3843598</v>
      </c>
      <c r="R155" s="13">
        <v>-6915918628.8485107</v>
      </c>
      <c r="S155" s="13">
        <v>185210237.16940641</v>
      </c>
      <c r="T155" s="13">
        <v>324117915.04646122</v>
      </c>
      <c r="U155" s="13">
        <v>3409552093.3458862</v>
      </c>
      <c r="V155" s="13">
        <v>-1532193780.2196341</v>
      </c>
      <c r="W155" s="13">
        <v>-2681339115.3843598</v>
      </c>
      <c r="X155" s="14">
        <v>6915918628.8485107</v>
      </c>
    </row>
    <row r="156" spans="12:24" x14ac:dyDescent="0.3">
      <c r="M156">
        <v>1</v>
      </c>
      <c r="N156">
        <v>2</v>
      </c>
      <c r="O156">
        <v>3</v>
      </c>
      <c r="P156">
        <v>4</v>
      </c>
      <c r="Q156">
        <v>5</v>
      </c>
      <c r="R156">
        <v>6</v>
      </c>
      <c r="S156">
        <v>7</v>
      </c>
      <c r="T156">
        <v>8</v>
      </c>
      <c r="U156">
        <v>9</v>
      </c>
      <c r="V156">
        <v>10</v>
      </c>
      <c r="W156">
        <v>11</v>
      </c>
      <c r="X156">
        <v>12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2025-11-17T08:17:57Z</dcterms:modified>
</cp:coreProperties>
</file>