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809" firstSheet="6" activeTab="11"/>
  </bookViews>
  <sheets>
    <sheet name="план" sheetId="1" r:id="rId1"/>
    <sheet name="+V гексы" sheetId="2" r:id="rId2"/>
    <sheet name="+!V гексы через якобиан" sheetId="3" r:id="rId3"/>
    <sheet name="!V пенты через якобиан" sheetId="4" r:id="rId4"/>
    <sheet name="лок в гл и обр" sheetId="11" r:id="rId5"/>
    <sheet name="частн произв в гл коор для пент" sheetId="6" r:id="rId6"/>
    <sheet name="пример на стр 301 (частн произв" sheetId="10" r:id="rId7"/>
    <sheet name="+NTNdetJ для пенты" sheetId="7" r:id="rId8"/>
    <sheet name="+NTNdetJ для гексы" sheetId="8" r:id="rId9"/>
    <sheet name="+пример стр 261" sheetId="9" r:id="rId10"/>
    <sheet name="+V тэтраэдра, NTNdetJ" sheetId="5" r:id="rId11"/>
    <sheet name="треугольник" sheetId="12" r:id="rId12"/>
  </sheets>
  <calcPr calcId="152511"/>
</workbook>
</file>

<file path=xl/calcChain.xml><?xml version="1.0" encoding="utf-8"?>
<calcChain xmlns="http://schemas.openxmlformats.org/spreadsheetml/2006/main">
  <c r="O63" i="12" l="1"/>
  <c r="P63" i="12"/>
  <c r="O62" i="12"/>
  <c r="P62" i="12"/>
  <c r="O61" i="12"/>
  <c r="P61" i="12"/>
  <c r="N62" i="12"/>
  <c r="N63" i="12"/>
  <c r="N61" i="12"/>
  <c r="N57" i="12"/>
  <c r="O59" i="12"/>
  <c r="P59" i="12"/>
  <c r="O58" i="12"/>
  <c r="P58" i="12"/>
  <c r="O57" i="12"/>
  <c r="P57" i="12"/>
  <c r="N58" i="12"/>
  <c r="N59" i="12"/>
  <c r="W53" i="12"/>
  <c r="U53" i="12"/>
  <c r="S54" i="12"/>
  <c r="S55" i="12"/>
  <c r="S53" i="12"/>
  <c r="O55" i="12"/>
  <c r="P55" i="12"/>
  <c r="O54" i="12"/>
  <c r="P54" i="12"/>
  <c r="N54" i="12"/>
  <c r="N55" i="12"/>
  <c r="O53" i="12"/>
  <c r="P53" i="12"/>
  <c r="N53" i="12"/>
  <c r="O50" i="12"/>
  <c r="P50" i="12"/>
  <c r="O49" i="12"/>
  <c r="P49" i="12"/>
  <c r="O48" i="12"/>
  <c r="P48" i="12"/>
  <c r="N49" i="12"/>
  <c r="N50" i="12"/>
  <c r="N48" i="12"/>
  <c r="O40" i="12"/>
  <c r="P40" i="12"/>
  <c r="O39" i="12"/>
  <c r="P39" i="12"/>
  <c r="N39" i="12"/>
  <c r="N40" i="12"/>
  <c r="O38" i="12"/>
  <c r="P38" i="12"/>
  <c r="N38" i="12"/>
  <c r="N28" i="12"/>
  <c r="O29" i="12"/>
  <c r="P29" i="12"/>
  <c r="O28" i="12"/>
  <c r="P28" i="12"/>
  <c r="N29" i="12"/>
  <c r="N30" i="12"/>
  <c r="R22" i="12"/>
  <c r="I43" i="12" a="1"/>
  <c r="I43" i="12" s="1"/>
  <c r="I33" i="12" a="1"/>
  <c r="I33" i="12" s="1"/>
  <c r="I23" i="12" a="1"/>
  <c r="J23" i="12" s="1"/>
  <c r="F48" i="12"/>
  <c r="E48" i="12"/>
  <c r="F38" i="12"/>
  <c r="D38" i="12"/>
  <c r="F28" i="12"/>
  <c r="D28" i="12"/>
  <c r="O19" i="12"/>
  <c r="P19" i="12"/>
  <c r="O18" i="12"/>
  <c r="P18" i="12"/>
  <c r="O17" i="12"/>
  <c r="P17" i="12"/>
  <c r="N18" i="12"/>
  <c r="N19" i="12"/>
  <c r="N17" i="12"/>
  <c r="O52" i="5"/>
  <c r="I85" i="5" a="1"/>
  <c r="I85" i="5"/>
  <c r="J85" i="5"/>
  <c r="K85" i="5"/>
  <c r="I86" i="5"/>
  <c r="J86" i="5"/>
  <c r="K86" i="5"/>
  <c r="I87" i="5"/>
  <c r="J87" i="5"/>
  <c r="K87" i="5"/>
  <c r="J17" i="12" a="1"/>
  <c r="J17" i="12" s="1"/>
  <c r="H17" i="12" a="1"/>
  <c r="H17" i="12" s="1"/>
  <c r="J44" i="12" l="1"/>
  <c r="I44" i="12"/>
  <c r="J43" i="12"/>
  <c r="J34" i="12"/>
  <c r="I34" i="12"/>
  <c r="J33" i="12"/>
  <c r="I23" i="12"/>
  <c r="J24" i="12"/>
  <c r="I24" i="12"/>
  <c r="M23" i="12" s="1"/>
  <c r="O23" i="12" s="1"/>
  <c r="D48" i="12"/>
  <c r="M43" i="12"/>
  <c r="O43" i="12" s="1"/>
  <c r="E38" i="12"/>
  <c r="D40" i="12" s="1"/>
  <c r="M33" i="12"/>
  <c r="O33" i="12" s="1"/>
  <c r="E28" i="12"/>
  <c r="D30" i="12" s="1"/>
  <c r="K19" i="12"/>
  <c r="J18" i="12"/>
  <c r="J19" i="12"/>
  <c r="L17" i="12"/>
  <c r="L18" i="12"/>
  <c r="K17" i="12"/>
  <c r="L19" i="12"/>
  <c r="K18" i="12"/>
  <c r="H19" i="12"/>
  <c r="H18" i="12"/>
  <c r="B13" i="12"/>
  <c r="B12" i="12"/>
  <c r="E17" i="12"/>
  <c r="F17" i="12"/>
  <c r="D17" i="12"/>
  <c r="D19" i="12" s="1"/>
  <c r="I12" i="12" a="1"/>
  <c r="I12" i="12" s="1"/>
  <c r="H38" i="12" l="1" a="1"/>
  <c r="H39" i="12" s="1"/>
  <c r="D50" i="12"/>
  <c r="H48" i="12" a="1"/>
  <c r="H38" i="12"/>
  <c r="H28" i="12" a="1"/>
  <c r="J13" i="12"/>
  <c r="I13" i="12"/>
  <c r="J12" i="12"/>
  <c r="M12" i="12" s="1"/>
  <c r="O12" i="12" s="1"/>
  <c r="T31" i="11"/>
  <c r="U31" i="11"/>
  <c r="T30" i="11"/>
  <c r="U30" i="11"/>
  <c r="T29" i="11"/>
  <c r="U29" i="11"/>
  <c r="S30" i="11"/>
  <c r="S31" i="11"/>
  <c r="S29" i="11"/>
  <c r="L31" i="11"/>
  <c r="M31" i="11"/>
  <c r="L30" i="11"/>
  <c r="M30" i="11"/>
  <c r="L29" i="11"/>
  <c r="M29" i="11"/>
  <c r="K30" i="11"/>
  <c r="K31" i="11"/>
  <c r="K29" i="11"/>
  <c r="G29" i="11" a="1"/>
  <c r="G29" i="11" s="1"/>
  <c r="C29" i="11" a="1"/>
  <c r="C29" i="11" s="1"/>
  <c r="E19" i="11"/>
  <c r="K147" i="8"/>
  <c r="L145" i="8"/>
  <c r="L146" i="8"/>
  <c r="L147" i="8"/>
  <c r="F145" i="8"/>
  <c r="E145" i="8"/>
  <c r="L105" i="8"/>
  <c r="L120" i="8"/>
  <c r="H15" i="11"/>
  <c r="E14" i="11"/>
  <c r="D4" i="11"/>
  <c r="D5" i="11"/>
  <c r="D6" i="11"/>
  <c r="D7" i="11"/>
  <c r="D8" i="11"/>
  <c r="D9" i="11"/>
  <c r="D10" i="11"/>
  <c r="C4" i="11"/>
  <c r="C5" i="11"/>
  <c r="C6" i="11"/>
  <c r="C7" i="11"/>
  <c r="C8" i="11"/>
  <c r="C9" i="11"/>
  <c r="C10" i="11"/>
  <c r="C3" i="11"/>
  <c r="D3" i="11"/>
  <c r="B4" i="11"/>
  <c r="B5" i="11"/>
  <c r="B6" i="11"/>
  <c r="B7" i="11"/>
  <c r="B8" i="11"/>
  <c r="B9" i="11"/>
  <c r="B10" i="11"/>
  <c r="B3" i="11"/>
  <c r="L19" i="11"/>
  <c r="K19" i="11"/>
  <c r="J19" i="11"/>
  <c r="I19" i="11"/>
  <c r="H19" i="11"/>
  <c r="G19" i="11"/>
  <c r="F19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G15" i="11"/>
  <c r="F15" i="11"/>
  <c r="E15" i="11"/>
  <c r="L14" i="11"/>
  <c r="K14" i="11"/>
  <c r="J14" i="11"/>
  <c r="I14" i="11"/>
  <c r="H14" i="11"/>
  <c r="G14" i="11"/>
  <c r="F14" i="11"/>
  <c r="H4" i="11"/>
  <c r="F3" i="11"/>
  <c r="H40" i="12" l="1"/>
  <c r="H50" i="12"/>
  <c r="H49" i="12"/>
  <c r="H48" i="12"/>
  <c r="J38" i="12" a="1"/>
  <c r="H30" i="12"/>
  <c r="H29" i="12"/>
  <c r="H28" i="12"/>
  <c r="J28" i="12" s="1" a="1"/>
  <c r="G30" i="11"/>
  <c r="G31" i="11"/>
  <c r="I30" i="11"/>
  <c r="H29" i="11"/>
  <c r="H31" i="11"/>
  <c r="I29" i="11"/>
  <c r="I31" i="11"/>
  <c r="H30" i="11"/>
  <c r="E29" i="11"/>
  <c r="D29" i="11"/>
  <c r="B24" i="11" a="1"/>
  <c r="B24" i="11" s="1"/>
  <c r="B25" i="11" a="1"/>
  <c r="B25" i="11" s="1"/>
  <c r="N14" i="11" a="1"/>
  <c r="N15" i="11" s="1"/>
  <c r="R15" i="11" s="1"/>
  <c r="B26" i="11"/>
  <c r="D18" i="10" a="1"/>
  <c r="D18" i="10" s="1"/>
  <c r="F18" i="10" s="1"/>
  <c r="E19" i="10"/>
  <c r="E18" i="10"/>
  <c r="D16" i="10"/>
  <c r="D15" i="10"/>
  <c r="G12" i="10"/>
  <c r="F12" i="10"/>
  <c r="E12" i="10"/>
  <c r="D12" i="10"/>
  <c r="G11" i="10"/>
  <c r="F11" i="10"/>
  <c r="E11" i="10"/>
  <c r="D11" i="10"/>
  <c r="D30" i="6" a="1"/>
  <c r="D30" i="6" s="1"/>
  <c r="D32" i="6"/>
  <c r="S96" i="6"/>
  <c r="S75" i="6"/>
  <c r="W142" i="6"/>
  <c r="X142" i="6"/>
  <c r="Y142" i="6"/>
  <c r="Z142" i="6"/>
  <c r="AA142" i="6"/>
  <c r="W141" i="6"/>
  <c r="X141" i="6"/>
  <c r="Y141" i="6"/>
  <c r="Z141" i="6"/>
  <c r="AA141" i="6"/>
  <c r="W140" i="6"/>
  <c r="X140" i="6"/>
  <c r="Y140" i="6"/>
  <c r="Z140" i="6"/>
  <c r="AA140" i="6"/>
  <c r="W139" i="6"/>
  <c r="X139" i="6"/>
  <c r="Y139" i="6"/>
  <c r="Z139" i="6"/>
  <c r="AA139" i="6"/>
  <c r="W138" i="6"/>
  <c r="X138" i="6"/>
  <c r="Y138" i="6"/>
  <c r="Z138" i="6"/>
  <c r="AA138" i="6"/>
  <c r="W137" i="6"/>
  <c r="X137" i="6"/>
  <c r="Y137" i="6"/>
  <c r="Z137" i="6"/>
  <c r="AA137" i="6"/>
  <c r="V138" i="6"/>
  <c r="V139" i="6"/>
  <c r="V140" i="6"/>
  <c r="V141" i="6"/>
  <c r="V142" i="6"/>
  <c r="V137" i="6"/>
  <c r="W125" i="6"/>
  <c r="N49" i="6"/>
  <c r="J49" i="6" a="1"/>
  <c r="J49" i="6" s="1"/>
  <c r="L49" i="6"/>
  <c r="J50" i="6"/>
  <c r="J51" i="6"/>
  <c r="K51" i="6"/>
  <c r="D49" i="6"/>
  <c r="C49" i="6"/>
  <c r="B49" i="6"/>
  <c r="O26" i="6" a="1"/>
  <c r="O26" i="6" s="1"/>
  <c r="P26" i="6"/>
  <c r="Q26" i="6"/>
  <c r="O27" i="6"/>
  <c r="Q27" i="6"/>
  <c r="O28" i="6"/>
  <c r="P28" i="6"/>
  <c r="D114" i="6" a="1"/>
  <c r="D114" i="6" s="1"/>
  <c r="D115" i="6"/>
  <c r="D116" i="6"/>
  <c r="U94" i="6"/>
  <c r="W109" i="6"/>
  <c r="W95" i="6"/>
  <c r="D58" i="6"/>
  <c r="R39" i="4"/>
  <c r="G41" i="4"/>
  <c r="J40" i="4"/>
  <c r="H40" i="4"/>
  <c r="G40" i="4"/>
  <c r="E40" i="4"/>
  <c r="C40" i="4"/>
  <c r="J41" i="4" s="1"/>
  <c r="I39" i="4"/>
  <c r="H39" i="4"/>
  <c r="F39" i="4"/>
  <c r="E39" i="4"/>
  <c r="C39" i="4"/>
  <c r="F41" i="4" s="1"/>
  <c r="W57" i="6"/>
  <c r="W25" i="6"/>
  <c r="A7" i="6"/>
  <c r="C8" i="6"/>
  <c r="C9" i="6"/>
  <c r="C10" i="6"/>
  <c r="C11" i="6"/>
  <c r="C12" i="6"/>
  <c r="B8" i="6"/>
  <c r="B9" i="6"/>
  <c r="B10" i="6"/>
  <c r="B11" i="6"/>
  <c r="B12" i="6"/>
  <c r="A8" i="6"/>
  <c r="A9" i="6"/>
  <c r="A10" i="6"/>
  <c r="A11" i="6"/>
  <c r="A12" i="6"/>
  <c r="B7" i="6"/>
  <c r="C7" i="6"/>
  <c r="I23" i="7"/>
  <c r="L161" i="3"/>
  <c r="K161" i="3"/>
  <c r="J161" i="3"/>
  <c r="I161" i="3"/>
  <c r="H161" i="3"/>
  <c r="G161" i="3"/>
  <c r="F161" i="3"/>
  <c r="E161" i="3"/>
  <c r="L160" i="3"/>
  <c r="K160" i="3"/>
  <c r="J160" i="3"/>
  <c r="I160" i="3"/>
  <c r="H160" i="3"/>
  <c r="G160" i="3"/>
  <c r="F160" i="3"/>
  <c r="E160" i="3"/>
  <c r="L159" i="3"/>
  <c r="K159" i="3"/>
  <c r="J159" i="3"/>
  <c r="I159" i="3"/>
  <c r="H159" i="3"/>
  <c r="G159" i="3"/>
  <c r="F159" i="3"/>
  <c r="E159" i="3"/>
  <c r="L157" i="3"/>
  <c r="K157" i="3"/>
  <c r="J157" i="3"/>
  <c r="I157" i="3"/>
  <c r="H157" i="3"/>
  <c r="G157" i="3"/>
  <c r="F157" i="3"/>
  <c r="E157" i="3"/>
  <c r="L156" i="3"/>
  <c r="K156" i="3"/>
  <c r="J156" i="3"/>
  <c r="I156" i="3"/>
  <c r="H156" i="3"/>
  <c r="G156" i="3"/>
  <c r="F156" i="3"/>
  <c r="E156" i="3"/>
  <c r="L155" i="3"/>
  <c r="K155" i="3"/>
  <c r="J155" i="3"/>
  <c r="I155" i="3"/>
  <c r="H155" i="3"/>
  <c r="G155" i="3"/>
  <c r="F155" i="3"/>
  <c r="E155" i="3"/>
  <c r="L153" i="3"/>
  <c r="K153" i="3"/>
  <c r="J153" i="3"/>
  <c r="I153" i="3"/>
  <c r="H153" i="3"/>
  <c r="G153" i="3"/>
  <c r="F153" i="3"/>
  <c r="E153" i="3"/>
  <c r="L152" i="3"/>
  <c r="K152" i="3"/>
  <c r="J152" i="3"/>
  <c r="I152" i="3"/>
  <c r="H152" i="3"/>
  <c r="G152" i="3"/>
  <c r="F152" i="3"/>
  <c r="E152" i="3"/>
  <c r="L151" i="3"/>
  <c r="K151" i="3"/>
  <c r="J151" i="3"/>
  <c r="I151" i="3"/>
  <c r="H151" i="3"/>
  <c r="G151" i="3"/>
  <c r="F151" i="3"/>
  <c r="E151" i="3"/>
  <c r="L149" i="3"/>
  <c r="K149" i="3"/>
  <c r="J149" i="3"/>
  <c r="I149" i="3"/>
  <c r="H149" i="3"/>
  <c r="G149" i="3"/>
  <c r="F149" i="3"/>
  <c r="E149" i="3"/>
  <c r="L148" i="3"/>
  <c r="K148" i="3"/>
  <c r="J148" i="3"/>
  <c r="I148" i="3"/>
  <c r="H148" i="3"/>
  <c r="G148" i="3"/>
  <c r="F148" i="3"/>
  <c r="E148" i="3"/>
  <c r="L147" i="3"/>
  <c r="K147" i="3"/>
  <c r="J147" i="3"/>
  <c r="I147" i="3"/>
  <c r="H147" i="3"/>
  <c r="G147" i="3"/>
  <c r="F147" i="3"/>
  <c r="E147" i="3"/>
  <c r="L145" i="3"/>
  <c r="K145" i="3"/>
  <c r="J145" i="3"/>
  <c r="I145" i="3"/>
  <c r="H145" i="3"/>
  <c r="G145" i="3"/>
  <c r="F145" i="3"/>
  <c r="E145" i="3"/>
  <c r="L144" i="3"/>
  <c r="K144" i="3"/>
  <c r="J144" i="3"/>
  <c r="I144" i="3"/>
  <c r="H144" i="3"/>
  <c r="G144" i="3"/>
  <c r="F144" i="3"/>
  <c r="E144" i="3"/>
  <c r="L143" i="3"/>
  <c r="K143" i="3"/>
  <c r="J143" i="3"/>
  <c r="I143" i="3"/>
  <c r="H143" i="3"/>
  <c r="G143" i="3"/>
  <c r="F143" i="3"/>
  <c r="E143" i="3"/>
  <c r="L141" i="3"/>
  <c r="K141" i="3"/>
  <c r="J141" i="3"/>
  <c r="I141" i="3"/>
  <c r="H141" i="3"/>
  <c r="G141" i="3"/>
  <c r="F141" i="3"/>
  <c r="E141" i="3"/>
  <c r="L140" i="3"/>
  <c r="K140" i="3"/>
  <c r="J140" i="3"/>
  <c r="I140" i="3"/>
  <c r="H140" i="3"/>
  <c r="G140" i="3"/>
  <c r="F140" i="3"/>
  <c r="E140" i="3"/>
  <c r="L139" i="3"/>
  <c r="K139" i="3"/>
  <c r="J139" i="3"/>
  <c r="I139" i="3"/>
  <c r="H139" i="3"/>
  <c r="G139" i="3"/>
  <c r="F139" i="3"/>
  <c r="E139" i="3"/>
  <c r="L137" i="3"/>
  <c r="K137" i="3"/>
  <c r="J137" i="3"/>
  <c r="I137" i="3"/>
  <c r="H137" i="3"/>
  <c r="G137" i="3"/>
  <c r="F137" i="3"/>
  <c r="E137" i="3"/>
  <c r="L136" i="3"/>
  <c r="K136" i="3"/>
  <c r="J136" i="3"/>
  <c r="I136" i="3"/>
  <c r="H136" i="3"/>
  <c r="G136" i="3"/>
  <c r="F136" i="3"/>
  <c r="E136" i="3"/>
  <c r="L135" i="3"/>
  <c r="K135" i="3"/>
  <c r="J135" i="3"/>
  <c r="I135" i="3"/>
  <c r="H135" i="3"/>
  <c r="G135" i="3"/>
  <c r="F135" i="3"/>
  <c r="E135" i="3"/>
  <c r="L133" i="3"/>
  <c r="K133" i="3"/>
  <c r="J133" i="3"/>
  <c r="I133" i="3"/>
  <c r="H133" i="3"/>
  <c r="G133" i="3"/>
  <c r="F133" i="3"/>
  <c r="E133" i="3"/>
  <c r="L132" i="3"/>
  <c r="K132" i="3"/>
  <c r="J132" i="3"/>
  <c r="I132" i="3"/>
  <c r="H132" i="3"/>
  <c r="G132" i="3"/>
  <c r="F132" i="3"/>
  <c r="E132" i="3"/>
  <c r="L131" i="3"/>
  <c r="K131" i="3"/>
  <c r="J131" i="3"/>
  <c r="I131" i="3"/>
  <c r="H131" i="3"/>
  <c r="G131" i="3"/>
  <c r="F131" i="3"/>
  <c r="E131" i="3"/>
  <c r="L129" i="3"/>
  <c r="K129" i="3"/>
  <c r="J129" i="3"/>
  <c r="I129" i="3"/>
  <c r="H129" i="3"/>
  <c r="G129" i="3"/>
  <c r="F129" i="3"/>
  <c r="E129" i="3"/>
  <c r="L128" i="3"/>
  <c r="K128" i="3"/>
  <c r="J128" i="3"/>
  <c r="I128" i="3"/>
  <c r="H128" i="3"/>
  <c r="G128" i="3"/>
  <c r="F128" i="3"/>
  <c r="E128" i="3"/>
  <c r="L127" i="3"/>
  <c r="K127" i="3"/>
  <c r="J127" i="3"/>
  <c r="I127" i="3"/>
  <c r="H127" i="3"/>
  <c r="G127" i="3"/>
  <c r="F127" i="3"/>
  <c r="E127" i="3"/>
  <c r="L125" i="3"/>
  <c r="K125" i="3"/>
  <c r="J125" i="3"/>
  <c r="I125" i="3"/>
  <c r="H125" i="3"/>
  <c r="G125" i="3"/>
  <c r="F125" i="3"/>
  <c r="E125" i="3"/>
  <c r="L124" i="3"/>
  <c r="K124" i="3"/>
  <c r="J124" i="3"/>
  <c r="I124" i="3"/>
  <c r="H124" i="3"/>
  <c r="G124" i="3"/>
  <c r="F124" i="3"/>
  <c r="E124" i="3"/>
  <c r="L123" i="3"/>
  <c r="K123" i="3"/>
  <c r="J123" i="3"/>
  <c r="I123" i="3"/>
  <c r="H123" i="3"/>
  <c r="G123" i="3"/>
  <c r="F123" i="3"/>
  <c r="E123" i="3"/>
  <c r="L121" i="3"/>
  <c r="K121" i="3"/>
  <c r="J121" i="3"/>
  <c r="I121" i="3"/>
  <c r="H121" i="3"/>
  <c r="G121" i="3"/>
  <c r="F121" i="3"/>
  <c r="E121" i="3"/>
  <c r="L120" i="3"/>
  <c r="K120" i="3"/>
  <c r="J120" i="3"/>
  <c r="I120" i="3"/>
  <c r="H120" i="3"/>
  <c r="G120" i="3"/>
  <c r="F120" i="3"/>
  <c r="E120" i="3"/>
  <c r="L119" i="3"/>
  <c r="K119" i="3"/>
  <c r="J119" i="3"/>
  <c r="I119" i="3"/>
  <c r="H119" i="3"/>
  <c r="G119" i="3"/>
  <c r="F119" i="3"/>
  <c r="E119" i="3"/>
  <c r="L117" i="3"/>
  <c r="K117" i="3"/>
  <c r="J117" i="3"/>
  <c r="I117" i="3"/>
  <c r="H117" i="3"/>
  <c r="G117" i="3"/>
  <c r="F117" i="3"/>
  <c r="E117" i="3"/>
  <c r="L116" i="3"/>
  <c r="K116" i="3"/>
  <c r="J116" i="3"/>
  <c r="I116" i="3"/>
  <c r="H116" i="3"/>
  <c r="G116" i="3"/>
  <c r="F116" i="3"/>
  <c r="E116" i="3"/>
  <c r="L115" i="3"/>
  <c r="K115" i="3"/>
  <c r="J115" i="3"/>
  <c r="I115" i="3"/>
  <c r="H115" i="3"/>
  <c r="G115" i="3"/>
  <c r="F115" i="3"/>
  <c r="E115" i="3"/>
  <c r="L113" i="3"/>
  <c r="K113" i="3"/>
  <c r="J113" i="3"/>
  <c r="I113" i="3"/>
  <c r="H113" i="3"/>
  <c r="G113" i="3"/>
  <c r="F113" i="3"/>
  <c r="E113" i="3"/>
  <c r="L112" i="3"/>
  <c r="K112" i="3"/>
  <c r="J112" i="3"/>
  <c r="I112" i="3"/>
  <c r="H112" i="3"/>
  <c r="G112" i="3"/>
  <c r="F112" i="3"/>
  <c r="E112" i="3"/>
  <c r="L111" i="3"/>
  <c r="K111" i="3"/>
  <c r="J111" i="3"/>
  <c r="I111" i="3"/>
  <c r="H111" i="3"/>
  <c r="G111" i="3"/>
  <c r="F111" i="3"/>
  <c r="E111" i="3"/>
  <c r="L109" i="3"/>
  <c r="K109" i="3"/>
  <c r="J109" i="3"/>
  <c r="I109" i="3"/>
  <c r="H109" i="3"/>
  <c r="G109" i="3"/>
  <c r="F109" i="3"/>
  <c r="E109" i="3"/>
  <c r="L108" i="3"/>
  <c r="K108" i="3"/>
  <c r="J108" i="3"/>
  <c r="I108" i="3"/>
  <c r="H108" i="3"/>
  <c r="G108" i="3"/>
  <c r="F108" i="3"/>
  <c r="E108" i="3"/>
  <c r="L107" i="3"/>
  <c r="K107" i="3"/>
  <c r="J107" i="3"/>
  <c r="I107" i="3"/>
  <c r="H107" i="3"/>
  <c r="G107" i="3"/>
  <c r="F107" i="3"/>
  <c r="E107" i="3"/>
  <c r="L105" i="3"/>
  <c r="K105" i="3"/>
  <c r="J105" i="3"/>
  <c r="I105" i="3"/>
  <c r="H105" i="3"/>
  <c r="G105" i="3"/>
  <c r="F105" i="3"/>
  <c r="E105" i="3"/>
  <c r="L104" i="3"/>
  <c r="K104" i="3"/>
  <c r="J104" i="3"/>
  <c r="I104" i="3"/>
  <c r="H104" i="3"/>
  <c r="G104" i="3"/>
  <c r="F104" i="3"/>
  <c r="E104" i="3"/>
  <c r="L103" i="3"/>
  <c r="K103" i="3"/>
  <c r="J103" i="3"/>
  <c r="I103" i="3"/>
  <c r="H103" i="3"/>
  <c r="G103" i="3"/>
  <c r="F103" i="3"/>
  <c r="E103" i="3"/>
  <c r="L101" i="3"/>
  <c r="K101" i="3"/>
  <c r="J101" i="3"/>
  <c r="I101" i="3"/>
  <c r="H101" i="3"/>
  <c r="G101" i="3"/>
  <c r="F101" i="3"/>
  <c r="E101" i="3"/>
  <c r="L100" i="3"/>
  <c r="K100" i="3"/>
  <c r="J100" i="3"/>
  <c r="I100" i="3"/>
  <c r="H100" i="3"/>
  <c r="G100" i="3"/>
  <c r="F100" i="3"/>
  <c r="E100" i="3"/>
  <c r="L99" i="3"/>
  <c r="K99" i="3"/>
  <c r="J99" i="3"/>
  <c r="I99" i="3"/>
  <c r="H99" i="3"/>
  <c r="G99" i="3"/>
  <c r="F99" i="3"/>
  <c r="E99" i="3"/>
  <c r="L97" i="3"/>
  <c r="K97" i="3"/>
  <c r="J97" i="3"/>
  <c r="I97" i="3"/>
  <c r="H97" i="3"/>
  <c r="G97" i="3"/>
  <c r="F97" i="3"/>
  <c r="E97" i="3"/>
  <c r="L96" i="3"/>
  <c r="K96" i="3"/>
  <c r="J96" i="3"/>
  <c r="I96" i="3"/>
  <c r="H96" i="3"/>
  <c r="G96" i="3"/>
  <c r="F96" i="3"/>
  <c r="E96" i="3"/>
  <c r="L95" i="3"/>
  <c r="K95" i="3"/>
  <c r="J95" i="3"/>
  <c r="I95" i="3"/>
  <c r="H95" i="3"/>
  <c r="G95" i="3"/>
  <c r="F95" i="3"/>
  <c r="E95" i="3"/>
  <c r="L93" i="3"/>
  <c r="K93" i="3"/>
  <c r="J93" i="3"/>
  <c r="I93" i="3"/>
  <c r="H93" i="3"/>
  <c r="G93" i="3"/>
  <c r="F93" i="3"/>
  <c r="E93" i="3"/>
  <c r="L92" i="3"/>
  <c r="K92" i="3"/>
  <c r="J92" i="3"/>
  <c r="I92" i="3"/>
  <c r="H92" i="3"/>
  <c r="G92" i="3"/>
  <c r="F92" i="3"/>
  <c r="E92" i="3"/>
  <c r="L91" i="3"/>
  <c r="K91" i="3"/>
  <c r="J91" i="3"/>
  <c r="I91" i="3"/>
  <c r="H91" i="3"/>
  <c r="G91" i="3"/>
  <c r="F91" i="3"/>
  <c r="E91" i="3"/>
  <c r="L89" i="3"/>
  <c r="K89" i="3"/>
  <c r="J89" i="3"/>
  <c r="I89" i="3"/>
  <c r="H89" i="3"/>
  <c r="G89" i="3"/>
  <c r="F89" i="3"/>
  <c r="E89" i="3"/>
  <c r="L88" i="3"/>
  <c r="K88" i="3"/>
  <c r="J88" i="3"/>
  <c r="I88" i="3"/>
  <c r="H88" i="3"/>
  <c r="G88" i="3"/>
  <c r="F88" i="3"/>
  <c r="E88" i="3"/>
  <c r="L87" i="3"/>
  <c r="K87" i="3"/>
  <c r="J87" i="3"/>
  <c r="I87" i="3"/>
  <c r="H87" i="3"/>
  <c r="G87" i="3"/>
  <c r="F87" i="3"/>
  <c r="E87" i="3"/>
  <c r="L85" i="3"/>
  <c r="K85" i="3"/>
  <c r="J85" i="3"/>
  <c r="I85" i="3"/>
  <c r="H85" i="3"/>
  <c r="G85" i="3"/>
  <c r="F85" i="3"/>
  <c r="E85" i="3"/>
  <c r="L84" i="3"/>
  <c r="K84" i="3"/>
  <c r="J84" i="3"/>
  <c r="I84" i="3"/>
  <c r="H84" i="3"/>
  <c r="G84" i="3"/>
  <c r="F84" i="3"/>
  <c r="E84" i="3"/>
  <c r="L83" i="3"/>
  <c r="K83" i="3"/>
  <c r="J83" i="3"/>
  <c r="I83" i="3"/>
  <c r="H83" i="3"/>
  <c r="G83" i="3"/>
  <c r="F83" i="3"/>
  <c r="E83" i="3"/>
  <c r="L81" i="3"/>
  <c r="K81" i="3"/>
  <c r="J81" i="3"/>
  <c r="I81" i="3"/>
  <c r="H81" i="3"/>
  <c r="G81" i="3"/>
  <c r="F81" i="3"/>
  <c r="E81" i="3"/>
  <c r="L80" i="3"/>
  <c r="K80" i="3"/>
  <c r="J80" i="3"/>
  <c r="I80" i="3"/>
  <c r="H80" i="3"/>
  <c r="G80" i="3"/>
  <c r="F80" i="3"/>
  <c r="E80" i="3"/>
  <c r="L79" i="3"/>
  <c r="K79" i="3"/>
  <c r="J79" i="3"/>
  <c r="I79" i="3"/>
  <c r="H79" i="3"/>
  <c r="G79" i="3"/>
  <c r="F79" i="3"/>
  <c r="E79" i="3"/>
  <c r="L77" i="3"/>
  <c r="K77" i="3"/>
  <c r="J77" i="3"/>
  <c r="I77" i="3"/>
  <c r="H77" i="3"/>
  <c r="G77" i="3"/>
  <c r="F77" i="3"/>
  <c r="E77" i="3"/>
  <c r="L76" i="3"/>
  <c r="K76" i="3"/>
  <c r="J76" i="3"/>
  <c r="I76" i="3"/>
  <c r="H76" i="3"/>
  <c r="G76" i="3"/>
  <c r="F76" i="3"/>
  <c r="E76" i="3"/>
  <c r="L75" i="3"/>
  <c r="K75" i="3"/>
  <c r="J75" i="3"/>
  <c r="I75" i="3"/>
  <c r="H75" i="3"/>
  <c r="G75" i="3"/>
  <c r="F75" i="3"/>
  <c r="E75" i="3"/>
  <c r="L73" i="3"/>
  <c r="K73" i="3"/>
  <c r="J73" i="3"/>
  <c r="I73" i="3"/>
  <c r="H73" i="3"/>
  <c r="G73" i="3"/>
  <c r="F73" i="3"/>
  <c r="E73" i="3"/>
  <c r="L72" i="3"/>
  <c r="K72" i="3"/>
  <c r="J72" i="3"/>
  <c r="I72" i="3"/>
  <c r="H72" i="3"/>
  <c r="G72" i="3"/>
  <c r="F72" i="3"/>
  <c r="E72" i="3"/>
  <c r="L71" i="3"/>
  <c r="K71" i="3"/>
  <c r="J71" i="3"/>
  <c r="I71" i="3"/>
  <c r="H71" i="3"/>
  <c r="G71" i="3"/>
  <c r="F71" i="3"/>
  <c r="E71" i="3"/>
  <c r="L69" i="3"/>
  <c r="K69" i="3"/>
  <c r="J69" i="3"/>
  <c r="I69" i="3"/>
  <c r="H69" i="3"/>
  <c r="G69" i="3"/>
  <c r="F69" i="3"/>
  <c r="E69" i="3"/>
  <c r="L68" i="3"/>
  <c r="K68" i="3"/>
  <c r="J68" i="3"/>
  <c r="I68" i="3"/>
  <c r="H68" i="3"/>
  <c r="G68" i="3"/>
  <c r="F68" i="3"/>
  <c r="E68" i="3"/>
  <c r="L67" i="3"/>
  <c r="K67" i="3"/>
  <c r="J67" i="3"/>
  <c r="I67" i="3"/>
  <c r="H67" i="3"/>
  <c r="G67" i="3"/>
  <c r="F67" i="3"/>
  <c r="E67" i="3"/>
  <c r="L65" i="3"/>
  <c r="K65" i="3"/>
  <c r="J65" i="3"/>
  <c r="I65" i="3"/>
  <c r="H65" i="3"/>
  <c r="G65" i="3"/>
  <c r="F65" i="3"/>
  <c r="E65" i="3"/>
  <c r="L64" i="3"/>
  <c r="K64" i="3"/>
  <c r="J64" i="3"/>
  <c r="I64" i="3"/>
  <c r="H64" i="3"/>
  <c r="G64" i="3"/>
  <c r="F64" i="3"/>
  <c r="E64" i="3"/>
  <c r="L63" i="3"/>
  <c r="K63" i="3"/>
  <c r="J63" i="3"/>
  <c r="I63" i="3"/>
  <c r="H63" i="3"/>
  <c r="G63" i="3"/>
  <c r="F63" i="3"/>
  <c r="E63" i="3"/>
  <c r="L61" i="3"/>
  <c r="K61" i="3"/>
  <c r="J61" i="3"/>
  <c r="I61" i="3"/>
  <c r="H61" i="3"/>
  <c r="G61" i="3"/>
  <c r="F61" i="3"/>
  <c r="E61" i="3"/>
  <c r="L60" i="3"/>
  <c r="K60" i="3"/>
  <c r="J60" i="3"/>
  <c r="I60" i="3"/>
  <c r="H60" i="3"/>
  <c r="G60" i="3"/>
  <c r="F60" i="3"/>
  <c r="E60" i="3"/>
  <c r="L59" i="3"/>
  <c r="K59" i="3"/>
  <c r="J59" i="3"/>
  <c r="I59" i="3"/>
  <c r="H59" i="3"/>
  <c r="G59" i="3"/>
  <c r="F59" i="3"/>
  <c r="E59" i="3"/>
  <c r="L57" i="3"/>
  <c r="K57" i="3"/>
  <c r="J57" i="3"/>
  <c r="I57" i="3"/>
  <c r="H57" i="3"/>
  <c r="G57" i="3"/>
  <c r="F57" i="3"/>
  <c r="E57" i="3"/>
  <c r="L56" i="3"/>
  <c r="K56" i="3"/>
  <c r="J56" i="3"/>
  <c r="I56" i="3"/>
  <c r="H56" i="3"/>
  <c r="G56" i="3"/>
  <c r="F56" i="3"/>
  <c r="E56" i="3"/>
  <c r="L55" i="3"/>
  <c r="K55" i="3"/>
  <c r="J55" i="3"/>
  <c r="I55" i="3"/>
  <c r="H55" i="3"/>
  <c r="G55" i="3"/>
  <c r="F55" i="3"/>
  <c r="E55" i="3"/>
  <c r="H98" i="2"/>
  <c r="L44" i="3"/>
  <c r="K44" i="3"/>
  <c r="J44" i="3"/>
  <c r="I44" i="3"/>
  <c r="H44" i="3"/>
  <c r="G44" i="3"/>
  <c r="F44" i="3"/>
  <c r="E44" i="3"/>
  <c r="L43" i="3"/>
  <c r="K43" i="3"/>
  <c r="J43" i="3"/>
  <c r="I43" i="3"/>
  <c r="H43" i="3"/>
  <c r="G43" i="3"/>
  <c r="F43" i="3"/>
  <c r="E43" i="3"/>
  <c r="L42" i="3"/>
  <c r="K42" i="3"/>
  <c r="J42" i="3"/>
  <c r="I42" i="3"/>
  <c r="H42" i="3"/>
  <c r="G42" i="3"/>
  <c r="F42" i="3"/>
  <c r="E42" i="3"/>
  <c r="L40" i="3"/>
  <c r="K40" i="3"/>
  <c r="J40" i="3"/>
  <c r="I40" i="3"/>
  <c r="H40" i="3"/>
  <c r="G40" i="3"/>
  <c r="F40" i="3"/>
  <c r="E40" i="3"/>
  <c r="L39" i="3"/>
  <c r="K39" i="3"/>
  <c r="J39" i="3"/>
  <c r="I39" i="3"/>
  <c r="H39" i="3"/>
  <c r="G39" i="3"/>
  <c r="F39" i="3"/>
  <c r="E39" i="3"/>
  <c r="L38" i="3"/>
  <c r="K38" i="3"/>
  <c r="J38" i="3"/>
  <c r="I38" i="3"/>
  <c r="H38" i="3"/>
  <c r="G38" i="3"/>
  <c r="F38" i="3"/>
  <c r="E38" i="3"/>
  <c r="L36" i="3"/>
  <c r="K36" i="3"/>
  <c r="J36" i="3"/>
  <c r="I36" i="3"/>
  <c r="H36" i="3"/>
  <c r="G36" i="3"/>
  <c r="F36" i="3"/>
  <c r="E36" i="3"/>
  <c r="L35" i="3"/>
  <c r="K35" i="3"/>
  <c r="J35" i="3"/>
  <c r="I35" i="3"/>
  <c r="H35" i="3"/>
  <c r="G35" i="3"/>
  <c r="F35" i="3"/>
  <c r="E35" i="3"/>
  <c r="L34" i="3"/>
  <c r="K34" i="3"/>
  <c r="J34" i="3"/>
  <c r="I34" i="3"/>
  <c r="H34" i="3"/>
  <c r="G34" i="3"/>
  <c r="F34" i="3"/>
  <c r="E34" i="3"/>
  <c r="L32" i="3"/>
  <c r="K32" i="3"/>
  <c r="J32" i="3"/>
  <c r="I32" i="3"/>
  <c r="H32" i="3"/>
  <c r="G32" i="3"/>
  <c r="F32" i="3"/>
  <c r="E32" i="3"/>
  <c r="L31" i="3"/>
  <c r="K31" i="3"/>
  <c r="J31" i="3"/>
  <c r="I31" i="3"/>
  <c r="H31" i="3"/>
  <c r="G31" i="3"/>
  <c r="F31" i="3"/>
  <c r="E31" i="3"/>
  <c r="L30" i="3"/>
  <c r="K30" i="3"/>
  <c r="J30" i="3"/>
  <c r="I30" i="3"/>
  <c r="H30" i="3"/>
  <c r="G30" i="3"/>
  <c r="F30" i="3"/>
  <c r="E30" i="3"/>
  <c r="L28" i="3"/>
  <c r="K28" i="3"/>
  <c r="J28" i="3"/>
  <c r="I28" i="3"/>
  <c r="H28" i="3"/>
  <c r="G28" i="3"/>
  <c r="F28" i="3"/>
  <c r="E28" i="3"/>
  <c r="L27" i="3"/>
  <c r="K27" i="3"/>
  <c r="J27" i="3"/>
  <c r="I27" i="3"/>
  <c r="H27" i="3"/>
  <c r="G27" i="3"/>
  <c r="F27" i="3"/>
  <c r="E27" i="3"/>
  <c r="L26" i="3"/>
  <c r="K26" i="3"/>
  <c r="J26" i="3"/>
  <c r="I26" i="3"/>
  <c r="H26" i="3"/>
  <c r="G26" i="3"/>
  <c r="F26" i="3"/>
  <c r="E26" i="3"/>
  <c r="L24" i="3"/>
  <c r="K24" i="3"/>
  <c r="J24" i="3"/>
  <c r="I24" i="3"/>
  <c r="H24" i="3"/>
  <c r="G24" i="3"/>
  <c r="F24" i="3"/>
  <c r="E24" i="3"/>
  <c r="L23" i="3"/>
  <c r="K23" i="3"/>
  <c r="J23" i="3"/>
  <c r="I23" i="3"/>
  <c r="H23" i="3"/>
  <c r="G23" i="3"/>
  <c r="F23" i="3"/>
  <c r="E23" i="3"/>
  <c r="L22" i="3"/>
  <c r="K22" i="3"/>
  <c r="J22" i="3"/>
  <c r="I22" i="3"/>
  <c r="H22" i="3"/>
  <c r="G22" i="3"/>
  <c r="F22" i="3"/>
  <c r="E22" i="3"/>
  <c r="L20" i="3"/>
  <c r="K20" i="3"/>
  <c r="J20" i="3"/>
  <c r="I20" i="3"/>
  <c r="H20" i="3"/>
  <c r="G20" i="3"/>
  <c r="F20" i="3"/>
  <c r="E20" i="3"/>
  <c r="L19" i="3"/>
  <c r="K19" i="3"/>
  <c r="J19" i="3"/>
  <c r="I19" i="3"/>
  <c r="H19" i="3"/>
  <c r="G19" i="3"/>
  <c r="F19" i="3"/>
  <c r="E19" i="3"/>
  <c r="L18" i="3"/>
  <c r="K18" i="3"/>
  <c r="J18" i="3"/>
  <c r="I18" i="3"/>
  <c r="H18" i="3"/>
  <c r="G18" i="3"/>
  <c r="F18" i="3"/>
  <c r="E18" i="3"/>
  <c r="L14" i="3"/>
  <c r="N14" i="3" s="1" a="1"/>
  <c r="N14" i="3" s="1"/>
  <c r="L15" i="8"/>
  <c r="K16" i="8"/>
  <c r="N15" i="8" a="1"/>
  <c r="N15" i="8" s="1"/>
  <c r="N16" i="8"/>
  <c r="D5" i="8"/>
  <c r="D6" i="8"/>
  <c r="D7" i="8"/>
  <c r="D8" i="8"/>
  <c r="D9" i="8"/>
  <c r="D10" i="8"/>
  <c r="D11" i="8"/>
  <c r="C5" i="8"/>
  <c r="C6" i="8"/>
  <c r="C7" i="8"/>
  <c r="C8" i="8"/>
  <c r="C9" i="8"/>
  <c r="C10" i="8"/>
  <c r="C11" i="8"/>
  <c r="B5" i="8"/>
  <c r="B6" i="8"/>
  <c r="B7" i="8"/>
  <c r="B8" i="8"/>
  <c r="B9" i="8"/>
  <c r="B10" i="8"/>
  <c r="B11" i="8"/>
  <c r="C4" i="8"/>
  <c r="D4" i="8"/>
  <c r="B4" i="8"/>
  <c r="B3" i="4"/>
  <c r="C3" i="4"/>
  <c r="D3" i="4"/>
  <c r="B4" i="4"/>
  <c r="A4" i="7" s="1"/>
  <c r="C4" i="4"/>
  <c r="D4" i="4"/>
  <c r="B5" i="4"/>
  <c r="C5" i="4"/>
  <c r="D5" i="4"/>
  <c r="B6" i="4"/>
  <c r="C6" i="4"/>
  <c r="D6" i="4"/>
  <c r="C6" i="7" s="1"/>
  <c r="B7" i="4"/>
  <c r="C7" i="4"/>
  <c r="D7" i="4"/>
  <c r="B8" i="4"/>
  <c r="A8" i="7" s="1"/>
  <c r="C8" i="4"/>
  <c r="D8" i="4"/>
  <c r="B5" i="7"/>
  <c r="I16" i="3"/>
  <c r="J16" i="3"/>
  <c r="K16" i="3"/>
  <c r="L16" i="3"/>
  <c r="L15" i="3"/>
  <c r="K15" i="3"/>
  <c r="J15" i="3"/>
  <c r="H15" i="3"/>
  <c r="G15" i="3"/>
  <c r="F15" i="3"/>
  <c r="E15" i="3"/>
  <c r="K14" i="3"/>
  <c r="J14" i="3"/>
  <c r="I14" i="3"/>
  <c r="H14" i="3"/>
  <c r="G14" i="3"/>
  <c r="F14" i="3"/>
  <c r="E14" i="3"/>
  <c r="C4" i="7"/>
  <c r="C5" i="7"/>
  <c r="C7" i="7"/>
  <c r="C8" i="7"/>
  <c r="B4" i="7"/>
  <c r="B6" i="7"/>
  <c r="B7" i="7"/>
  <c r="B8" i="7"/>
  <c r="A5" i="7"/>
  <c r="A6" i="7"/>
  <c r="A7" i="7"/>
  <c r="B3" i="7"/>
  <c r="C3" i="7"/>
  <c r="A3" i="7"/>
  <c r="C157" i="3"/>
  <c r="C156" i="3"/>
  <c r="C153" i="3"/>
  <c r="C152" i="3"/>
  <c r="C149" i="3"/>
  <c r="C148" i="3"/>
  <c r="C161" i="3"/>
  <c r="C160" i="3"/>
  <c r="C145" i="3"/>
  <c r="C144" i="3"/>
  <c r="C141" i="3"/>
  <c r="C140" i="3"/>
  <c r="C137" i="3"/>
  <c r="C136" i="3"/>
  <c r="C133" i="3"/>
  <c r="C132" i="3"/>
  <c r="C129" i="3"/>
  <c r="C128" i="3"/>
  <c r="C125" i="3"/>
  <c r="C124" i="3"/>
  <c r="C121" i="3"/>
  <c r="C120" i="3"/>
  <c r="C117" i="3"/>
  <c r="C116" i="3"/>
  <c r="C113" i="3"/>
  <c r="C112" i="3"/>
  <c r="C109" i="3"/>
  <c r="C108" i="3"/>
  <c r="C105" i="3"/>
  <c r="C104" i="3"/>
  <c r="C101" i="3"/>
  <c r="C100" i="3"/>
  <c r="C97" i="3"/>
  <c r="C96" i="3"/>
  <c r="C93" i="3"/>
  <c r="C92" i="3"/>
  <c r="C159" i="3"/>
  <c r="C155" i="3"/>
  <c r="C151" i="3"/>
  <c r="C147" i="3"/>
  <c r="C143" i="3"/>
  <c r="C139" i="3"/>
  <c r="C135" i="3"/>
  <c r="C131" i="3"/>
  <c r="C127" i="3"/>
  <c r="AA129" i="3"/>
  <c r="AA128" i="3"/>
  <c r="AA127" i="3"/>
  <c r="C123" i="3"/>
  <c r="C119" i="3"/>
  <c r="C115" i="3"/>
  <c r="C111" i="3"/>
  <c r="C107" i="3"/>
  <c r="C103" i="3"/>
  <c r="C99" i="3"/>
  <c r="C95" i="3"/>
  <c r="C91" i="3"/>
  <c r="C89" i="3"/>
  <c r="C88" i="3"/>
  <c r="C87" i="3"/>
  <c r="AA89" i="3"/>
  <c r="AA88" i="3"/>
  <c r="AA87" i="3"/>
  <c r="C85" i="3"/>
  <c r="C84" i="3"/>
  <c r="C83" i="3"/>
  <c r="C81" i="3"/>
  <c r="C80" i="3"/>
  <c r="C79" i="3"/>
  <c r="J48" i="12" l="1" a="1"/>
  <c r="J40" i="12"/>
  <c r="L38" i="12"/>
  <c r="L40" i="12"/>
  <c r="J38" i="12"/>
  <c r="K40" i="12"/>
  <c r="J39" i="12"/>
  <c r="L39" i="12"/>
  <c r="K38" i="12"/>
  <c r="K39" i="12"/>
  <c r="J30" i="12"/>
  <c r="L28" i="12"/>
  <c r="K29" i="12"/>
  <c r="K30" i="12"/>
  <c r="O30" i="12" s="1"/>
  <c r="J29" i="12"/>
  <c r="L29" i="12"/>
  <c r="K28" i="12"/>
  <c r="L30" i="12"/>
  <c r="P30" i="12" s="1"/>
  <c r="J28" i="12"/>
  <c r="O14" i="11"/>
  <c r="S14" i="11" s="1"/>
  <c r="P16" i="11"/>
  <c r="T16" i="11" s="1"/>
  <c r="N16" i="11"/>
  <c r="R16" i="11" s="1"/>
  <c r="N14" i="11"/>
  <c r="R14" i="11" s="1"/>
  <c r="O16" i="11"/>
  <c r="S16" i="11" s="1"/>
  <c r="P15" i="11"/>
  <c r="T15" i="11" s="1"/>
  <c r="O15" i="11"/>
  <c r="S15" i="11" s="1"/>
  <c r="P14" i="11"/>
  <c r="T14" i="11" s="1"/>
  <c r="D19" i="10"/>
  <c r="F19" i="10" s="1"/>
  <c r="I11" i="10" a="1"/>
  <c r="J12" i="10" s="1"/>
  <c r="D31" i="6"/>
  <c r="L50" i="6"/>
  <c r="K49" i="6"/>
  <c r="L51" i="6"/>
  <c r="K50" i="6"/>
  <c r="Q28" i="6"/>
  <c r="P27" i="6"/>
  <c r="H41" i="4"/>
  <c r="E41" i="4"/>
  <c r="L39" i="4" s="1" a="1"/>
  <c r="I41" i="4"/>
  <c r="N15" i="3"/>
  <c r="N16" i="3"/>
  <c r="P15" i="3"/>
  <c r="O14" i="3"/>
  <c r="O16" i="3"/>
  <c r="P14" i="3"/>
  <c r="P16" i="3"/>
  <c r="O15" i="3"/>
  <c r="O17" i="8"/>
  <c r="N17" i="8"/>
  <c r="P15" i="8"/>
  <c r="P16" i="8"/>
  <c r="O15" i="8"/>
  <c r="P17" i="8"/>
  <c r="O16" i="8"/>
  <c r="C77" i="3"/>
  <c r="C76" i="3"/>
  <c r="C75" i="3"/>
  <c r="C73" i="3"/>
  <c r="C72" i="3"/>
  <c r="C71" i="3"/>
  <c r="C69" i="3"/>
  <c r="C68" i="3"/>
  <c r="C67" i="3"/>
  <c r="C65" i="3"/>
  <c r="C64" i="3"/>
  <c r="C63" i="3"/>
  <c r="C61" i="3"/>
  <c r="C60" i="3"/>
  <c r="C59" i="3"/>
  <c r="N55" i="3" a="1"/>
  <c r="N55" i="3" s="1"/>
  <c r="N56" i="3"/>
  <c r="O57" i="3"/>
  <c r="C57" i="3"/>
  <c r="C56" i="3"/>
  <c r="C55" i="3"/>
  <c r="AA57" i="3"/>
  <c r="AA56" i="3"/>
  <c r="AA55" i="3"/>
  <c r="P80" i="2"/>
  <c r="Q80" i="2"/>
  <c r="O80" i="2"/>
  <c r="P75" i="2"/>
  <c r="Q75" i="2"/>
  <c r="O75" i="2"/>
  <c r="P70" i="2"/>
  <c r="Q70" i="2"/>
  <c r="O70" i="2"/>
  <c r="Q87" i="2"/>
  <c r="P87" i="2"/>
  <c r="O87" i="2"/>
  <c r="P82" i="2"/>
  <c r="Q82" i="2"/>
  <c r="O82" i="2"/>
  <c r="P76" i="2"/>
  <c r="Q76" i="2"/>
  <c r="O76" i="2"/>
  <c r="P69" i="2"/>
  <c r="Q69" i="2"/>
  <c r="O69" i="2"/>
  <c r="P88" i="2"/>
  <c r="Q88" i="2"/>
  <c r="O88" i="2"/>
  <c r="P74" i="2"/>
  <c r="Q74" i="2"/>
  <c r="O74" i="2"/>
  <c r="P68" i="2"/>
  <c r="Q68" i="2"/>
  <c r="O68" i="2"/>
  <c r="P64" i="2"/>
  <c r="Q64" i="2"/>
  <c r="O64" i="2"/>
  <c r="P86" i="2"/>
  <c r="Q86" i="2"/>
  <c r="O86" i="2"/>
  <c r="P81" i="2"/>
  <c r="Q81" i="2"/>
  <c r="O81" i="2"/>
  <c r="P73" i="2"/>
  <c r="Q73" i="2"/>
  <c r="O73" i="2"/>
  <c r="P63" i="2"/>
  <c r="Q63" i="2"/>
  <c r="O63" i="2"/>
  <c r="P62" i="2"/>
  <c r="Q62" i="2"/>
  <c r="O62" i="2"/>
  <c r="P85" i="2"/>
  <c r="Q85" i="2"/>
  <c r="O85" i="2"/>
  <c r="P79" i="2"/>
  <c r="Q79" i="2"/>
  <c r="O79" i="2"/>
  <c r="P67" i="2"/>
  <c r="Q67" i="2"/>
  <c r="O67" i="2"/>
  <c r="P61" i="2"/>
  <c r="Q61" i="2"/>
  <c r="O61" i="2"/>
  <c r="J50" i="12" l="1"/>
  <c r="L48" i="12"/>
  <c r="K50" i="12"/>
  <c r="J49" i="12"/>
  <c r="L49" i="12"/>
  <c r="K48" i="12"/>
  <c r="L50" i="12"/>
  <c r="K49" i="12"/>
  <c r="J48" i="12"/>
  <c r="V14" i="11"/>
  <c r="W14" i="11" s="1"/>
  <c r="W12" i="11" s="1"/>
  <c r="J11" i="10"/>
  <c r="I12" i="10"/>
  <c r="I11" i="10"/>
  <c r="L11" i="10" s="1" a="1"/>
  <c r="O11" i="10"/>
  <c r="R11" i="10" s="1"/>
  <c r="N40" i="4"/>
  <c r="M39" i="4"/>
  <c r="N41" i="4"/>
  <c r="M40" i="4"/>
  <c r="L39" i="4"/>
  <c r="M41" i="4"/>
  <c r="L40" i="4"/>
  <c r="L41" i="4"/>
  <c r="N39" i="4"/>
  <c r="P55" i="3"/>
  <c r="N57" i="3"/>
  <c r="N147" i="3" a="1"/>
  <c r="N149" i="3" s="1"/>
  <c r="R149" i="3" s="1"/>
  <c r="N143" i="3" a="1"/>
  <c r="P144" i="3" s="1"/>
  <c r="T144" i="3" s="1"/>
  <c r="N139" i="3" a="1"/>
  <c r="N141" i="3" s="1"/>
  <c r="R141" i="3" s="1"/>
  <c r="N135" i="3" a="1"/>
  <c r="P135" i="3" s="1"/>
  <c r="T135" i="3" s="1"/>
  <c r="N131" i="3" a="1"/>
  <c r="P131" i="3" s="1"/>
  <c r="T131" i="3" s="1"/>
  <c r="N127" i="3" a="1"/>
  <c r="P127" i="3" s="1"/>
  <c r="T127" i="3" s="1"/>
  <c r="N123" i="3" a="1"/>
  <c r="N125" i="3" s="1"/>
  <c r="R125" i="3" s="1"/>
  <c r="N119" i="3" a="1"/>
  <c r="O121" i="3" s="1"/>
  <c r="S121" i="3" s="1"/>
  <c r="N115" i="3" a="1"/>
  <c r="N117" i="3" s="1"/>
  <c r="R117" i="3" s="1"/>
  <c r="N151" i="3" a="1"/>
  <c r="P152" i="3" s="1"/>
  <c r="T152" i="3" s="1"/>
  <c r="N155" i="3" a="1"/>
  <c r="P155" i="3" s="1"/>
  <c r="T155" i="3" s="1"/>
  <c r="N159" i="3" a="1"/>
  <c r="P160" i="3" s="1"/>
  <c r="T160" i="3" s="1"/>
  <c r="N87" i="3" a="1"/>
  <c r="N89" i="3" s="1"/>
  <c r="R89" i="3" s="1"/>
  <c r="N91" i="3" a="1"/>
  <c r="N93" i="3" s="1"/>
  <c r="R93" i="3" s="1"/>
  <c r="N95" i="3" a="1"/>
  <c r="P96" i="3" s="1"/>
  <c r="T96" i="3" s="1"/>
  <c r="N99" i="3" a="1"/>
  <c r="N101" i="3" s="1"/>
  <c r="R101" i="3" s="1"/>
  <c r="N103" i="3" a="1"/>
  <c r="N105" i="3" s="1"/>
  <c r="R105" i="3" s="1"/>
  <c r="N107" i="3" a="1"/>
  <c r="O107" i="3" s="1"/>
  <c r="S107" i="3" s="1"/>
  <c r="N111" i="3" a="1"/>
  <c r="P112" i="3" s="1"/>
  <c r="T112" i="3" s="1"/>
  <c r="N83" i="3" a="1"/>
  <c r="P84" i="3" s="1"/>
  <c r="T84" i="3" s="1"/>
  <c r="N79" i="3" a="1"/>
  <c r="P80" i="3" s="1"/>
  <c r="T80" i="3" s="1"/>
  <c r="N75" i="3" a="1"/>
  <c r="N77" i="3" s="1"/>
  <c r="R77" i="3" s="1"/>
  <c r="N71" i="3" a="1"/>
  <c r="P72" i="3" s="1"/>
  <c r="T72" i="3" s="1"/>
  <c r="N67" i="3" a="1"/>
  <c r="N69" i="3" s="1"/>
  <c r="R69" i="3" s="1"/>
  <c r="N63" i="3" a="1"/>
  <c r="P65" i="3" s="1"/>
  <c r="T65" i="3" s="1"/>
  <c r="N59" i="3" a="1"/>
  <c r="P61" i="3" s="1"/>
  <c r="T61" i="3" s="1"/>
  <c r="P56" i="3"/>
  <c r="O55" i="3"/>
  <c r="P57" i="3"/>
  <c r="O56" i="3"/>
  <c r="T55" i="3"/>
  <c r="R57" i="3"/>
  <c r="N81" i="3"/>
  <c r="R81" i="3" s="1"/>
  <c r="P79" i="3"/>
  <c r="T79" i="3" s="1"/>
  <c r="C81" i="2"/>
  <c r="D81" i="2"/>
  <c r="B81" i="2"/>
  <c r="C91" i="2"/>
  <c r="D91" i="2"/>
  <c r="B91" i="2"/>
  <c r="C80" i="2"/>
  <c r="D80" i="2"/>
  <c r="B80" i="2"/>
  <c r="C73" i="2"/>
  <c r="D73" i="2"/>
  <c r="B73" i="2"/>
  <c r="C62" i="2"/>
  <c r="D62" i="2"/>
  <c r="B62" i="2"/>
  <c r="C63" i="2"/>
  <c r="D63" i="2"/>
  <c r="B63" i="2"/>
  <c r="C94" i="2"/>
  <c r="D94" i="2"/>
  <c r="B94" i="2"/>
  <c r="C85" i="2"/>
  <c r="D85" i="2"/>
  <c r="B85" i="2"/>
  <c r="C79" i="2"/>
  <c r="D79" i="2"/>
  <c r="B79" i="2"/>
  <c r="C76" i="2"/>
  <c r="D76" i="2"/>
  <c r="B76" i="2"/>
  <c r="C67" i="2"/>
  <c r="D67" i="2"/>
  <c r="B67" i="2"/>
  <c r="C61" i="2"/>
  <c r="D61" i="2"/>
  <c r="B61" i="2"/>
  <c r="C93" i="2"/>
  <c r="D93" i="2"/>
  <c r="B93" i="2"/>
  <c r="C87" i="2"/>
  <c r="D87" i="2"/>
  <c r="B87" i="2"/>
  <c r="C82" i="2"/>
  <c r="D82" i="2"/>
  <c r="B82" i="2"/>
  <c r="C92" i="2"/>
  <c r="D92" i="2"/>
  <c r="B92" i="2"/>
  <c r="C86" i="2"/>
  <c r="D86" i="2"/>
  <c r="B86" i="2"/>
  <c r="C75" i="2"/>
  <c r="D75" i="2"/>
  <c r="B75" i="2"/>
  <c r="C69" i="2"/>
  <c r="D69" i="2"/>
  <c r="B69" i="2"/>
  <c r="C74" i="2"/>
  <c r="D74" i="2"/>
  <c r="B74" i="2"/>
  <c r="C68" i="2"/>
  <c r="D68" i="2"/>
  <c r="B68" i="2"/>
  <c r="C64" i="2"/>
  <c r="D64" i="2"/>
  <c r="B64" i="2"/>
  <c r="C88" i="2"/>
  <c r="D88" i="2"/>
  <c r="B88" i="2"/>
  <c r="C70" i="2"/>
  <c r="D70" i="2"/>
  <c r="B70" i="2"/>
  <c r="G42" i="5"/>
  <c r="D42" i="5"/>
  <c r="L11" i="10" l="1"/>
  <c r="L12" i="10"/>
  <c r="M12" i="10"/>
  <c r="M11" i="10"/>
  <c r="P39" i="4"/>
  <c r="N148" i="3"/>
  <c r="R148" i="3" s="1"/>
  <c r="N75" i="3"/>
  <c r="R75" i="3" s="1"/>
  <c r="O76" i="3"/>
  <c r="S76" i="3" s="1"/>
  <c r="P75" i="3"/>
  <c r="T75" i="3" s="1"/>
  <c r="O75" i="3"/>
  <c r="S75" i="3" s="1"/>
  <c r="O77" i="3"/>
  <c r="S77" i="3" s="1"/>
  <c r="P76" i="3"/>
  <c r="T76" i="3" s="1"/>
  <c r="N73" i="3"/>
  <c r="R73" i="3" s="1"/>
  <c r="P73" i="3"/>
  <c r="T73" i="3" s="1"/>
  <c r="P71" i="3"/>
  <c r="T71" i="3" s="1"/>
  <c r="N72" i="3"/>
  <c r="R72" i="3" s="1"/>
  <c r="O72" i="3"/>
  <c r="S72" i="3" s="1"/>
  <c r="N67" i="3"/>
  <c r="R67" i="3" s="1"/>
  <c r="P69" i="3"/>
  <c r="T69" i="3" s="1"/>
  <c r="O69" i="3"/>
  <c r="S69" i="3" s="1"/>
  <c r="O67" i="3"/>
  <c r="S67" i="3" s="1"/>
  <c r="P68" i="3"/>
  <c r="T68" i="3" s="1"/>
  <c r="P67" i="3"/>
  <c r="T67" i="3" s="1"/>
  <c r="N63" i="3"/>
  <c r="R63" i="3" s="1"/>
  <c r="N64" i="3"/>
  <c r="R64" i="3" s="1"/>
  <c r="O65" i="3"/>
  <c r="S65" i="3" s="1"/>
  <c r="P63" i="3"/>
  <c r="T63" i="3" s="1"/>
  <c r="V63" i="3" s="1"/>
  <c r="X63" i="3" s="1"/>
  <c r="P64" i="3"/>
  <c r="T64" i="3" s="1"/>
  <c r="O63" i="3"/>
  <c r="S63" i="3" s="1"/>
  <c r="N65" i="3"/>
  <c r="R65" i="3" s="1"/>
  <c r="O61" i="3"/>
  <c r="S61" i="3" s="1"/>
  <c r="N61" i="3"/>
  <c r="R61" i="3" s="1"/>
  <c r="N59" i="3"/>
  <c r="R59" i="3" s="1"/>
  <c r="O59" i="3"/>
  <c r="S59" i="3" s="1"/>
  <c r="V59" i="3" s="1"/>
  <c r="X59" i="3" s="1"/>
  <c r="P59" i="3"/>
  <c r="T59" i="3" s="1"/>
  <c r="P60" i="3"/>
  <c r="T60" i="3" s="1"/>
  <c r="N155" i="3"/>
  <c r="R155" i="3" s="1"/>
  <c r="N157" i="3"/>
  <c r="R157" i="3" s="1"/>
  <c r="O156" i="3"/>
  <c r="S156" i="3" s="1"/>
  <c r="O155" i="3"/>
  <c r="S155" i="3" s="1"/>
  <c r="P156" i="3"/>
  <c r="T156" i="3" s="1"/>
  <c r="O147" i="3"/>
  <c r="S147" i="3" s="1"/>
  <c r="O149" i="3"/>
  <c r="S149" i="3" s="1"/>
  <c r="N147" i="3"/>
  <c r="R147" i="3" s="1"/>
  <c r="O139" i="3"/>
  <c r="S139" i="3" s="1"/>
  <c r="P139" i="3"/>
  <c r="T139" i="3" s="1"/>
  <c r="O140" i="3"/>
  <c r="S140" i="3" s="1"/>
  <c r="N140" i="3"/>
  <c r="R140" i="3" s="1"/>
  <c r="P141" i="3"/>
  <c r="T141" i="3" s="1"/>
  <c r="O141" i="3"/>
  <c r="S141" i="3" s="1"/>
  <c r="N139" i="3"/>
  <c r="R139" i="3" s="1"/>
  <c r="P140" i="3"/>
  <c r="T140" i="3" s="1"/>
  <c r="P136" i="3"/>
  <c r="T136" i="3" s="1"/>
  <c r="N135" i="3"/>
  <c r="R135" i="3" s="1"/>
  <c r="P137" i="3"/>
  <c r="T137" i="3" s="1"/>
  <c r="O137" i="3"/>
  <c r="S137" i="3" s="1"/>
  <c r="N137" i="3"/>
  <c r="R137" i="3" s="1"/>
  <c r="N136" i="3"/>
  <c r="R136" i="3" s="1"/>
  <c r="O135" i="3"/>
  <c r="S135" i="3" s="1"/>
  <c r="P133" i="3"/>
  <c r="T133" i="3" s="1"/>
  <c r="N133" i="3"/>
  <c r="R133" i="3" s="1"/>
  <c r="O133" i="3"/>
  <c r="S133" i="3" s="1"/>
  <c r="N131" i="3"/>
  <c r="R131" i="3" s="1"/>
  <c r="O131" i="3"/>
  <c r="S131" i="3" s="1"/>
  <c r="O132" i="3"/>
  <c r="S132" i="3" s="1"/>
  <c r="P132" i="3"/>
  <c r="T132" i="3" s="1"/>
  <c r="P129" i="3"/>
  <c r="T129" i="3" s="1"/>
  <c r="N128" i="3"/>
  <c r="R128" i="3" s="1"/>
  <c r="O127" i="3"/>
  <c r="S127" i="3" s="1"/>
  <c r="O129" i="3"/>
  <c r="S129" i="3" s="1"/>
  <c r="P128" i="3"/>
  <c r="T128" i="3" s="1"/>
  <c r="N127" i="3"/>
  <c r="R127" i="3" s="1"/>
  <c r="N129" i="3"/>
  <c r="R129" i="3" s="1"/>
  <c r="O123" i="3"/>
  <c r="S123" i="3" s="1"/>
  <c r="P124" i="3"/>
  <c r="T124" i="3" s="1"/>
  <c r="O124" i="3"/>
  <c r="S124" i="3" s="1"/>
  <c r="P125" i="3"/>
  <c r="T125" i="3" s="1"/>
  <c r="O119" i="3"/>
  <c r="S119" i="3" s="1"/>
  <c r="N120" i="3"/>
  <c r="R120" i="3" s="1"/>
  <c r="P119" i="3"/>
  <c r="T119" i="3" s="1"/>
  <c r="P120" i="3"/>
  <c r="T120" i="3" s="1"/>
  <c r="N119" i="3"/>
  <c r="R119" i="3" s="1"/>
  <c r="V119" i="3" s="1"/>
  <c r="X119" i="3" s="1"/>
  <c r="P121" i="3"/>
  <c r="T121" i="3" s="1"/>
  <c r="N121" i="3"/>
  <c r="R121" i="3" s="1"/>
  <c r="O115" i="3"/>
  <c r="S115" i="3" s="1"/>
  <c r="P115" i="3"/>
  <c r="T115" i="3" s="1"/>
  <c r="O116" i="3"/>
  <c r="S116" i="3" s="1"/>
  <c r="N116" i="3"/>
  <c r="R116" i="3" s="1"/>
  <c r="N115" i="3"/>
  <c r="R115" i="3" s="1"/>
  <c r="P116" i="3"/>
  <c r="T116" i="3" s="1"/>
  <c r="O117" i="3"/>
  <c r="S117" i="3" s="1"/>
  <c r="O112" i="3"/>
  <c r="S112" i="3" s="1"/>
  <c r="P111" i="3"/>
  <c r="T111" i="3" s="1"/>
  <c r="N99" i="3"/>
  <c r="R99" i="3" s="1"/>
  <c r="P100" i="3"/>
  <c r="T100" i="3" s="1"/>
  <c r="N96" i="3"/>
  <c r="R96" i="3" s="1"/>
  <c r="P95" i="3"/>
  <c r="T95" i="3" s="1"/>
  <c r="N95" i="3"/>
  <c r="R95" i="3" s="1"/>
  <c r="N97" i="3"/>
  <c r="R97" i="3" s="1"/>
  <c r="O96" i="3"/>
  <c r="S96" i="3" s="1"/>
  <c r="N159" i="3"/>
  <c r="R159" i="3" s="1"/>
  <c r="P161" i="3"/>
  <c r="T161" i="3" s="1"/>
  <c r="P159" i="3"/>
  <c r="T159" i="3" s="1"/>
  <c r="O161" i="3"/>
  <c r="S161" i="3" s="1"/>
  <c r="N160" i="3"/>
  <c r="R160" i="3" s="1"/>
  <c r="N161" i="3"/>
  <c r="R161" i="3" s="1"/>
  <c r="O159" i="3"/>
  <c r="S159" i="3" s="1"/>
  <c r="O160" i="3"/>
  <c r="S160" i="3" s="1"/>
  <c r="P157" i="3"/>
  <c r="T157" i="3" s="1"/>
  <c r="O157" i="3"/>
  <c r="S157" i="3" s="1"/>
  <c r="N156" i="3"/>
  <c r="R156" i="3" s="1"/>
  <c r="N152" i="3"/>
  <c r="R152" i="3" s="1"/>
  <c r="P151" i="3"/>
  <c r="T151" i="3" s="1"/>
  <c r="N151" i="3"/>
  <c r="R151" i="3" s="1"/>
  <c r="O153" i="3"/>
  <c r="S153" i="3" s="1"/>
  <c r="N153" i="3"/>
  <c r="R153" i="3" s="1"/>
  <c r="O152" i="3"/>
  <c r="S152" i="3" s="1"/>
  <c r="O151" i="3"/>
  <c r="S151" i="3" s="1"/>
  <c r="P153" i="3"/>
  <c r="T153" i="3" s="1"/>
  <c r="P147" i="3"/>
  <c r="T147" i="3" s="1"/>
  <c r="P149" i="3"/>
  <c r="T149" i="3" s="1"/>
  <c r="P148" i="3"/>
  <c r="T148" i="3" s="1"/>
  <c r="O148" i="3"/>
  <c r="S148" i="3" s="1"/>
  <c r="O144" i="3"/>
  <c r="S144" i="3" s="1"/>
  <c r="O145" i="3"/>
  <c r="S145" i="3" s="1"/>
  <c r="P145" i="3"/>
  <c r="T145" i="3" s="1"/>
  <c r="P143" i="3"/>
  <c r="T143" i="3" s="1"/>
  <c r="N144" i="3"/>
  <c r="R144" i="3" s="1"/>
  <c r="O143" i="3"/>
  <c r="S143" i="3" s="1"/>
  <c r="N145" i="3"/>
  <c r="R145" i="3" s="1"/>
  <c r="N143" i="3"/>
  <c r="R143" i="3" s="1"/>
  <c r="O136" i="3"/>
  <c r="S136" i="3" s="1"/>
  <c r="N132" i="3"/>
  <c r="R132" i="3" s="1"/>
  <c r="O128" i="3"/>
  <c r="S128" i="3" s="1"/>
  <c r="P123" i="3"/>
  <c r="T123" i="3" s="1"/>
  <c r="N124" i="3"/>
  <c r="R124" i="3" s="1"/>
  <c r="O125" i="3"/>
  <c r="S125" i="3" s="1"/>
  <c r="N123" i="3"/>
  <c r="R123" i="3" s="1"/>
  <c r="O120" i="3"/>
  <c r="S120" i="3" s="1"/>
  <c r="P117" i="3"/>
  <c r="T117" i="3" s="1"/>
  <c r="P113" i="3"/>
  <c r="T113" i="3" s="1"/>
  <c r="O113" i="3"/>
  <c r="S113" i="3" s="1"/>
  <c r="N112" i="3"/>
  <c r="R112" i="3" s="1"/>
  <c r="N113" i="3"/>
  <c r="R113" i="3" s="1"/>
  <c r="O111" i="3"/>
  <c r="S111" i="3" s="1"/>
  <c r="N111" i="3"/>
  <c r="R111" i="3" s="1"/>
  <c r="N107" i="3"/>
  <c r="R107" i="3" s="1"/>
  <c r="P108" i="3"/>
  <c r="T108" i="3" s="1"/>
  <c r="P105" i="3"/>
  <c r="T105" i="3" s="1"/>
  <c r="P103" i="3"/>
  <c r="T103" i="3" s="1"/>
  <c r="N103" i="3"/>
  <c r="R103" i="3" s="1"/>
  <c r="P104" i="3"/>
  <c r="T104" i="3" s="1"/>
  <c r="O104" i="3"/>
  <c r="S104" i="3" s="1"/>
  <c r="N104" i="3"/>
  <c r="R104" i="3" s="1"/>
  <c r="O105" i="3"/>
  <c r="S105" i="3" s="1"/>
  <c r="O103" i="3"/>
  <c r="S103" i="3" s="1"/>
  <c r="O100" i="3"/>
  <c r="S100" i="3" s="1"/>
  <c r="N100" i="3"/>
  <c r="R100" i="3" s="1"/>
  <c r="P101" i="3"/>
  <c r="T101" i="3" s="1"/>
  <c r="P99" i="3"/>
  <c r="T99" i="3" s="1"/>
  <c r="O101" i="3"/>
  <c r="S101" i="3" s="1"/>
  <c r="O99" i="3"/>
  <c r="S99" i="3" s="1"/>
  <c r="P97" i="3"/>
  <c r="T97" i="3" s="1"/>
  <c r="O95" i="3"/>
  <c r="S95" i="3" s="1"/>
  <c r="O97" i="3"/>
  <c r="S97" i="3" s="1"/>
  <c r="O93" i="3"/>
  <c r="S93" i="3" s="1"/>
  <c r="P92" i="3"/>
  <c r="T92" i="3" s="1"/>
  <c r="O87" i="3"/>
  <c r="S87" i="3" s="1"/>
  <c r="P87" i="3"/>
  <c r="T87" i="3" s="1"/>
  <c r="O89" i="3"/>
  <c r="S89" i="3" s="1"/>
  <c r="P89" i="3"/>
  <c r="T89" i="3" s="1"/>
  <c r="O88" i="3"/>
  <c r="S88" i="3" s="1"/>
  <c r="P88" i="3"/>
  <c r="T88" i="3" s="1"/>
  <c r="N88" i="3"/>
  <c r="R88" i="3" s="1"/>
  <c r="N87" i="3"/>
  <c r="R87" i="3" s="1"/>
  <c r="P85" i="3"/>
  <c r="T85" i="3" s="1"/>
  <c r="O85" i="3"/>
  <c r="S85" i="3" s="1"/>
  <c r="O83" i="3"/>
  <c r="S83" i="3" s="1"/>
  <c r="N84" i="3"/>
  <c r="R84" i="3" s="1"/>
  <c r="N83" i="3"/>
  <c r="R83" i="3" s="1"/>
  <c r="P83" i="3"/>
  <c r="T83" i="3" s="1"/>
  <c r="O84" i="3"/>
  <c r="S84" i="3" s="1"/>
  <c r="N85" i="3"/>
  <c r="R85" i="3" s="1"/>
  <c r="O108" i="3"/>
  <c r="S108" i="3" s="1"/>
  <c r="P107" i="3"/>
  <c r="T107" i="3" s="1"/>
  <c r="N91" i="3"/>
  <c r="R91" i="3" s="1"/>
  <c r="O91" i="3"/>
  <c r="S91" i="3" s="1"/>
  <c r="N108" i="3"/>
  <c r="R108" i="3" s="1"/>
  <c r="N109" i="3"/>
  <c r="R109" i="3" s="1"/>
  <c r="P93" i="3"/>
  <c r="T93" i="3" s="1"/>
  <c r="P91" i="3"/>
  <c r="T91" i="3" s="1"/>
  <c r="P109" i="3"/>
  <c r="T109" i="3" s="1"/>
  <c r="O109" i="3"/>
  <c r="S109" i="3" s="1"/>
  <c r="N92" i="3"/>
  <c r="R92" i="3" s="1"/>
  <c r="O92" i="3"/>
  <c r="S92" i="3" s="1"/>
  <c r="N80" i="3"/>
  <c r="R80" i="3" s="1"/>
  <c r="N79" i="3"/>
  <c r="R79" i="3" s="1"/>
  <c r="O80" i="3"/>
  <c r="S80" i="3" s="1"/>
  <c r="O81" i="3"/>
  <c r="S81" i="3" s="1"/>
  <c r="P81" i="3"/>
  <c r="T81" i="3" s="1"/>
  <c r="O79" i="3"/>
  <c r="S79" i="3" s="1"/>
  <c r="N76" i="3"/>
  <c r="R76" i="3" s="1"/>
  <c r="P77" i="3"/>
  <c r="T77" i="3" s="1"/>
  <c r="O73" i="3"/>
  <c r="S73" i="3" s="1"/>
  <c r="O71" i="3"/>
  <c r="S71" i="3" s="1"/>
  <c r="N71" i="3"/>
  <c r="R71" i="3" s="1"/>
  <c r="V71" i="3"/>
  <c r="X71" i="3" s="1"/>
  <c r="N68" i="3"/>
  <c r="R68" i="3" s="1"/>
  <c r="O68" i="3"/>
  <c r="S68" i="3" s="1"/>
  <c r="O64" i="3"/>
  <c r="S64" i="3" s="1"/>
  <c r="O60" i="3"/>
  <c r="S60" i="3" s="1"/>
  <c r="N60" i="3"/>
  <c r="R60" i="3" s="1"/>
  <c r="S56" i="3"/>
  <c r="S55" i="3"/>
  <c r="R56" i="3"/>
  <c r="T57" i="3"/>
  <c r="S57" i="3"/>
  <c r="T56" i="3"/>
  <c r="R55" i="3"/>
  <c r="V67" i="3"/>
  <c r="X67" i="3" s="1"/>
  <c r="O75" i="9"/>
  <c r="P75" i="9"/>
  <c r="O74" i="9"/>
  <c r="P74" i="9"/>
  <c r="N74" i="9"/>
  <c r="N75" i="9"/>
  <c r="O73" i="9"/>
  <c r="P73" i="9"/>
  <c r="N73" i="9"/>
  <c r="M70" i="9"/>
  <c r="D73" i="9"/>
  <c r="F70" i="9"/>
  <c r="E70" i="9"/>
  <c r="F73" i="9"/>
  <c r="B133" i="7"/>
  <c r="B118" i="7"/>
  <c r="K104" i="7" a="1"/>
  <c r="K104" i="7" s="1"/>
  <c r="K90" i="7" a="1"/>
  <c r="L90" i="7" s="1"/>
  <c r="D104" i="7"/>
  <c r="B91" i="7"/>
  <c r="I92" i="7" s="1"/>
  <c r="B76" i="7"/>
  <c r="E78" i="7" s="1"/>
  <c r="F151" i="7"/>
  <c r="I148" i="7"/>
  <c r="F148" i="7"/>
  <c r="I147" i="7"/>
  <c r="G147" i="7"/>
  <c r="F147" i="7"/>
  <c r="D147" i="7"/>
  <c r="I151" i="7"/>
  <c r="H146" i="7"/>
  <c r="G146" i="7"/>
  <c r="E146" i="7"/>
  <c r="D146" i="7"/>
  <c r="G151" i="7"/>
  <c r="F134" i="7"/>
  <c r="I133" i="7"/>
  <c r="G133" i="7"/>
  <c r="F133" i="7"/>
  <c r="D133" i="7"/>
  <c r="I134" i="7"/>
  <c r="H132" i="7"/>
  <c r="G132" i="7"/>
  <c r="E132" i="7"/>
  <c r="D132" i="7"/>
  <c r="G137" i="7"/>
  <c r="F120" i="7"/>
  <c r="I119" i="7"/>
  <c r="G119" i="7"/>
  <c r="F119" i="7"/>
  <c r="D119" i="7"/>
  <c r="I120" i="7"/>
  <c r="H118" i="7"/>
  <c r="G118" i="7"/>
  <c r="E118" i="7"/>
  <c r="D118" i="7"/>
  <c r="G123" i="7"/>
  <c r="F109" i="7"/>
  <c r="H106" i="7"/>
  <c r="F106" i="7"/>
  <c r="D106" i="7"/>
  <c r="I105" i="7"/>
  <c r="G105" i="7"/>
  <c r="F105" i="7"/>
  <c r="D105" i="7"/>
  <c r="I106" i="7"/>
  <c r="H104" i="7"/>
  <c r="G104" i="7"/>
  <c r="E104" i="7"/>
  <c r="G109" i="7"/>
  <c r="F92" i="7"/>
  <c r="I91" i="7"/>
  <c r="G91" i="7"/>
  <c r="F91" i="7"/>
  <c r="D91" i="7"/>
  <c r="H90" i="7"/>
  <c r="G90" i="7"/>
  <c r="E90" i="7"/>
  <c r="D90" i="7"/>
  <c r="I78" i="7"/>
  <c r="F78" i="7"/>
  <c r="I77" i="7"/>
  <c r="G77" i="7"/>
  <c r="F77" i="7"/>
  <c r="D77" i="7"/>
  <c r="F81" i="7"/>
  <c r="H76" i="7"/>
  <c r="G76" i="7"/>
  <c r="E76" i="7"/>
  <c r="D76" i="7"/>
  <c r="H78" i="7"/>
  <c r="I56" i="9"/>
  <c r="D59" i="9"/>
  <c r="E56" i="9"/>
  <c r="D56" i="9"/>
  <c r="O45" i="9"/>
  <c r="O67" i="9"/>
  <c r="N45" i="9"/>
  <c r="N67" i="9"/>
  <c r="D56" i="7"/>
  <c r="I56" i="7"/>
  <c r="H56" i="7"/>
  <c r="G56" i="7"/>
  <c r="F56" i="7"/>
  <c r="E56" i="7"/>
  <c r="I42" i="7"/>
  <c r="H42" i="7"/>
  <c r="G42" i="7"/>
  <c r="F42" i="7"/>
  <c r="D44" i="7" s="1"/>
  <c r="E42" i="7"/>
  <c r="D42" i="7"/>
  <c r="I27" i="7"/>
  <c r="H27" i="7"/>
  <c r="G27" i="7"/>
  <c r="F27" i="7"/>
  <c r="E27" i="7"/>
  <c r="D27" i="7"/>
  <c r="D29" i="7"/>
  <c r="D38" i="7"/>
  <c r="D37" i="7"/>
  <c r="I39" i="7"/>
  <c r="H39" i="7"/>
  <c r="G39" i="7"/>
  <c r="F39" i="7"/>
  <c r="E39" i="7"/>
  <c r="D39" i="7"/>
  <c r="I38" i="7"/>
  <c r="G38" i="7"/>
  <c r="F38" i="7"/>
  <c r="H37" i="7"/>
  <c r="G37" i="7"/>
  <c r="E37" i="7"/>
  <c r="T27" i="7" a="1"/>
  <c r="I24" i="7"/>
  <c r="H24" i="7"/>
  <c r="H22" i="7"/>
  <c r="G24" i="7"/>
  <c r="G23" i="7"/>
  <c r="G22" i="7"/>
  <c r="F24" i="7"/>
  <c r="F23" i="7"/>
  <c r="E24" i="7"/>
  <c r="E22" i="7"/>
  <c r="D24" i="7"/>
  <c r="D23" i="7"/>
  <c r="D22" i="7"/>
  <c r="V155" i="3" l="1"/>
  <c r="X155" i="3" s="1"/>
  <c r="V139" i="3"/>
  <c r="X139" i="3" s="1"/>
  <c r="V135" i="3"/>
  <c r="X135" i="3" s="1"/>
  <c r="V131" i="3"/>
  <c r="X131" i="3" s="1"/>
  <c r="V111" i="3"/>
  <c r="X111" i="3" s="1"/>
  <c r="V87" i="3"/>
  <c r="X87" i="3" s="1"/>
  <c r="V75" i="3"/>
  <c r="X75" i="3" s="1"/>
  <c r="K90" i="7"/>
  <c r="M92" i="7"/>
  <c r="K91" i="7"/>
  <c r="L92" i="7"/>
  <c r="L91" i="7"/>
  <c r="V151" i="3"/>
  <c r="X151" i="3" s="1"/>
  <c r="V147" i="3"/>
  <c r="X147" i="3" s="1"/>
  <c r="V143" i="3"/>
  <c r="X143" i="3" s="1"/>
  <c r="V127" i="3"/>
  <c r="X127" i="3" s="1"/>
  <c r="V123" i="3"/>
  <c r="X123" i="3" s="1"/>
  <c r="V115" i="3"/>
  <c r="X115" i="3" s="1"/>
  <c r="V103" i="3"/>
  <c r="X103" i="3" s="1"/>
  <c r="V99" i="3"/>
  <c r="X99" i="3" s="1"/>
  <c r="V95" i="3"/>
  <c r="X95" i="3" s="1"/>
  <c r="V159" i="3"/>
  <c r="X159" i="3" s="1"/>
  <c r="V107" i="3"/>
  <c r="X107" i="3" s="1"/>
  <c r="V91" i="3"/>
  <c r="X91" i="3" s="1"/>
  <c r="V83" i="3"/>
  <c r="X83" i="3" s="1"/>
  <c r="V79" i="3"/>
  <c r="X79" i="3" s="1"/>
  <c r="V55" i="3"/>
  <c r="X55" i="3" s="1"/>
  <c r="E73" i="9"/>
  <c r="D70" i="9"/>
  <c r="I70" i="9" s="1"/>
  <c r="K70" i="9" s="1"/>
  <c r="K105" i="7"/>
  <c r="M104" i="7"/>
  <c r="M105" i="7"/>
  <c r="L104" i="7"/>
  <c r="L106" i="7"/>
  <c r="K106" i="7"/>
  <c r="M106" i="7"/>
  <c r="L105" i="7"/>
  <c r="K92" i="7"/>
  <c r="M90" i="7"/>
  <c r="M91" i="7"/>
  <c r="G95" i="7"/>
  <c r="G81" i="7"/>
  <c r="D151" i="7"/>
  <c r="G148" i="7"/>
  <c r="E151" i="7"/>
  <c r="H151" i="7"/>
  <c r="D148" i="7"/>
  <c r="K146" i="7" s="1" a="1"/>
  <c r="H148" i="7"/>
  <c r="E148" i="7"/>
  <c r="H137" i="7"/>
  <c r="G134" i="7"/>
  <c r="E137" i="7"/>
  <c r="I137" i="7"/>
  <c r="D137" i="7"/>
  <c r="D134" i="7"/>
  <c r="K132" i="7" s="1" a="1"/>
  <c r="M134" i="7" s="1"/>
  <c r="H134" i="7"/>
  <c r="F137" i="7"/>
  <c r="E134" i="7"/>
  <c r="G120" i="7"/>
  <c r="E123" i="7"/>
  <c r="I123" i="7"/>
  <c r="H123" i="7"/>
  <c r="D120" i="7"/>
  <c r="K118" i="7" s="1" a="1"/>
  <c r="M120" i="7" s="1"/>
  <c r="H120" i="7"/>
  <c r="F123" i="7"/>
  <c r="D123" i="7"/>
  <c r="E120" i="7"/>
  <c r="D109" i="7"/>
  <c r="H109" i="7"/>
  <c r="G106" i="7"/>
  <c r="E109" i="7"/>
  <c r="I109" i="7"/>
  <c r="E106" i="7"/>
  <c r="G92" i="7"/>
  <c r="E95" i="7"/>
  <c r="I95" i="7"/>
  <c r="H95" i="7"/>
  <c r="D92" i="7"/>
  <c r="H92" i="7"/>
  <c r="F95" i="7"/>
  <c r="D95" i="7"/>
  <c r="E92" i="7"/>
  <c r="D81" i="7"/>
  <c r="H81" i="7"/>
  <c r="G78" i="7"/>
  <c r="I81" i="7"/>
  <c r="E81" i="7"/>
  <c r="D78" i="7"/>
  <c r="L90" i="8"/>
  <c r="L75" i="8"/>
  <c r="L60" i="8"/>
  <c r="L45" i="8"/>
  <c r="L30" i="8"/>
  <c r="Y20" i="8" a="1"/>
  <c r="E15" i="8"/>
  <c r="X162" i="3" l="1"/>
  <c r="X166" i="3" s="1"/>
  <c r="D75" i="9"/>
  <c r="H73" i="9" a="1"/>
  <c r="M148" i="7"/>
  <c r="K148" i="7"/>
  <c r="M147" i="7"/>
  <c r="M146" i="7"/>
  <c r="L146" i="7"/>
  <c r="K146" i="7"/>
  <c r="L147" i="7"/>
  <c r="L148" i="7"/>
  <c r="K147" i="7"/>
  <c r="K132" i="7"/>
  <c r="M132" i="7"/>
  <c r="L134" i="7"/>
  <c r="M133" i="7"/>
  <c r="K133" i="7"/>
  <c r="L132" i="7"/>
  <c r="L133" i="7"/>
  <c r="K134" i="7"/>
  <c r="K118" i="7"/>
  <c r="L118" i="7"/>
  <c r="K120" i="7"/>
  <c r="L120" i="7"/>
  <c r="M118" i="7"/>
  <c r="K119" i="7"/>
  <c r="L119" i="7"/>
  <c r="M119" i="7"/>
  <c r="K76" i="7" a="1"/>
  <c r="M76" i="7" s="1"/>
  <c r="D153" i="7"/>
  <c r="K151" i="7" a="1"/>
  <c r="D139" i="7"/>
  <c r="K137" i="7" a="1"/>
  <c r="D125" i="7"/>
  <c r="K123" i="7" a="1"/>
  <c r="D111" i="7"/>
  <c r="K109" i="7" a="1"/>
  <c r="D97" i="7"/>
  <c r="K95" i="7" a="1"/>
  <c r="K81" i="7" a="1"/>
  <c r="D83" i="7"/>
  <c r="H75" i="9" l="1"/>
  <c r="H73" i="9"/>
  <c r="H74" i="9"/>
  <c r="O146" i="7"/>
  <c r="Q146" i="7" s="1"/>
  <c r="O132" i="7"/>
  <c r="Q132" i="7" s="1"/>
  <c r="O118" i="7"/>
  <c r="Q118" i="7" s="1"/>
  <c r="O90" i="7"/>
  <c r="Q90" i="7" s="1"/>
  <c r="K78" i="7"/>
  <c r="M78" i="7"/>
  <c r="L78" i="7"/>
  <c r="M77" i="7"/>
  <c r="K77" i="7"/>
  <c r="L77" i="7"/>
  <c r="K76" i="7"/>
  <c r="L76" i="7"/>
  <c r="K155" i="7"/>
  <c r="K151" i="7"/>
  <c r="K154" i="7"/>
  <c r="K156" i="7"/>
  <c r="K153" i="7"/>
  <c r="K152" i="7"/>
  <c r="K141" i="7"/>
  <c r="K137" i="7"/>
  <c r="K138" i="7"/>
  <c r="K140" i="7"/>
  <c r="K142" i="7"/>
  <c r="K139" i="7"/>
  <c r="K127" i="7"/>
  <c r="K123" i="7"/>
  <c r="K128" i="7"/>
  <c r="K126" i="7"/>
  <c r="K125" i="7"/>
  <c r="K124" i="7"/>
  <c r="K113" i="7"/>
  <c r="K109" i="7"/>
  <c r="K112" i="7"/>
  <c r="K111" i="7"/>
  <c r="K114" i="7"/>
  <c r="K110" i="7"/>
  <c r="K99" i="7"/>
  <c r="K95" i="7"/>
  <c r="K96" i="7"/>
  <c r="K98" i="7"/>
  <c r="K100" i="7"/>
  <c r="K97" i="7"/>
  <c r="K84" i="7"/>
  <c r="K83" i="7"/>
  <c r="K85" i="7"/>
  <c r="K86" i="7"/>
  <c r="K82" i="7"/>
  <c r="K81" i="7"/>
  <c r="N41" i="9"/>
  <c r="N43" i="9"/>
  <c r="D61" i="9"/>
  <c r="D53" i="9"/>
  <c r="D39" i="9"/>
  <c r="D23" i="9"/>
  <c r="M18" i="9"/>
  <c r="N21" i="9"/>
  <c r="D59" i="7"/>
  <c r="B23" i="7"/>
  <c r="B22" i="7"/>
  <c r="B87" i="5"/>
  <c r="B86" i="5"/>
  <c r="B85" i="5"/>
  <c r="E90" i="5" s="1"/>
  <c r="B76" i="5"/>
  <c r="B75" i="5"/>
  <c r="B74" i="5"/>
  <c r="B64" i="5"/>
  <c r="F68" i="5" s="1"/>
  <c r="B65" i="5"/>
  <c r="B63" i="5"/>
  <c r="E68" i="5" s="1"/>
  <c r="B54" i="5"/>
  <c r="G57" i="5" s="1"/>
  <c r="B53" i="5"/>
  <c r="F57" i="5" s="1"/>
  <c r="B52" i="5"/>
  <c r="E57" i="5" s="1"/>
  <c r="G90" i="5"/>
  <c r="F90" i="5"/>
  <c r="G79" i="5"/>
  <c r="F79" i="5"/>
  <c r="E79" i="5"/>
  <c r="I74" i="5" a="1"/>
  <c r="K75" i="5" s="1"/>
  <c r="G68" i="5"/>
  <c r="I63" i="5" a="1"/>
  <c r="K64" i="5" s="1"/>
  <c r="I52" i="5" a="1"/>
  <c r="K53" i="5" s="1"/>
  <c r="F42" i="5"/>
  <c r="E42" i="5"/>
  <c r="I37" i="5" a="1"/>
  <c r="I37" i="5" s="1"/>
  <c r="X156" i="7" l="1"/>
  <c r="W156" i="7"/>
  <c r="Y151" i="7"/>
  <c r="T153" i="7"/>
  <c r="U154" i="7"/>
  <c r="X153" i="7"/>
  <c r="X152" i="7"/>
  <c r="Y154" i="7"/>
  <c r="T151" i="7"/>
  <c r="T152" i="7"/>
  <c r="Y155" i="7"/>
  <c r="T155" i="7"/>
  <c r="W154" i="7"/>
  <c r="W155" i="7"/>
  <c r="V155" i="7"/>
  <c r="T154" i="7"/>
  <c r="V152" i="7"/>
  <c r="U155" i="7"/>
  <c r="Y152" i="7"/>
  <c r="X155" i="7"/>
  <c r="U151" i="7"/>
  <c r="U153" i="7"/>
  <c r="Y153" i="7"/>
  <c r="X151" i="7"/>
  <c r="W153" i="7"/>
  <c r="V156" i="7"/>
  <c r="U152" i="7"/>
  <c r="Y156" i="7"/>
  <c r="V151" i="7"/>
  <c r="W152" i="7"/>
  <c r="U156" i="7"/>
  <c r="V154" i="7"/>
  <c r="T156" i="7"/>
  <c r="X154" i="7"/>
  <c r="W151" i="7"/>
  <c r="V153" i="7"/>
  <c r="W128" i="7"/>
  <c r="V127" i="7"/>
  <c r="U126" i="7"/>
  <c r="Y126" i="7"/>
  <c r="X125" i="7"/>
  <c r="W124" i="7"/>
  <c r="T125" i="7"/>
  <c r="U123" i="7"/>
  <c r="Y123" i="7"/>
  <c r="V126" i="7"/>
  <c r="X124" i="7"/>
  <c r="V123" i="7"/>
  <c r="W126" i="7"/>
  <c r="Y124" i="7"/>
  <c r="W123" i="7"/>
  <c r="U127" i="7"/>
  <c r="X126" i="7"/>
  <c r="V124" i="7"/>
  <c r="T128" i="7"/>
  <c r="X128" i="7"/>
  <c r="W127" i="7"/>
  <c r="U125" i="7"/>
  <c r="Y125" i="7"/>
  <c r="T126" i="7"/>
  <c r="T123" i="7"/>
  <c r="U128" i="7"/>
  <c r="Y128" i="7"/>
  <c r="X127" i="7"/>
  <c r="V125" i="7"/>
  <c r="U124" i="7"/>
  <c r="T127" i="7"/>
  <c r="V128" i="7"/>
  <c r="Y127" i="7"/>
  <c r="W125" i="7"/>
  <c r="T124" i="7"/>
  <c r="X123" i="7"/>
  <c r="D79" i="5"/>
  <c r="I79" i="5" s="1" a="1"/>
  <c r="I79" i="5" s="1"/>
  <c r="J73" i="9" a="1"/>
  <c r="J75" i="9" s="1"/>
  <c r="L73" i="9"/>
  <c r="L75" i="9"/>
  <c r="K74" i="9"/>
  <c r="K75" i="9"/>
  <c r="J74" i="9"/>
  <c r="L74" i="9"/>
  <c r="X100" i="7"/>
  <c r="W99" i="7"/>
  <c r="V98" i="7"/>
  <c r="U97" i="7"/>
  <c r="Y97" i="7"/>
  <c r="X96" i="7"/>
  <c r="T98" i="7"/>
  <c r="V95" i="7"/>
  <c r="T95" i="7"/>
  <c r="U100" i="7"/>
  <c r="Y100" i="7"/>
  <c r="X99" i="7"/>
  <c r="W98" i="7"/>
  <c r="V97" i="7"/>
  <c r="U96" i="7"/>
  <c r="Y96" i="7"/>
  <c r="T99" i="7"/>
  <c r="W95" i="7"/>
  <c r="V100" i="7"/>
  <c r="U99" i="7"/>
  <c r="Y99" i="7"/>
  <c r="X98" i="7"/>
  <c r="W97" i="7"/>
  <c r="V96" i="7"/>
  <c r="T96" i="7"/>
  <c r="T100" i="7"/>
  <c r="X95" i="7"/>
  <c r="W100" i="7"/>
  <c r="V99" i="7"/>
  <c r="U98" i="7"/>
  <c r="Y98" i="7"/>
  <c r="X97" i="7"/>
  <c r="W96" i="7"/>
  <c r="T97" i="7"/>
  <c r="U95" i="7"/>
  <c r="Y95" i="7"/>
  <c r="O104" i="7"/>
  <c r="Q104" i="7" s="1"/>
  <c r="M81" i="7" a="1"/>
  <c r="R82" i="7" s="1"/>
  <c r="O76" i="7"/>
  <c r="Q76" i="7" s="1"/>
  <c r="M151" i="7" a="1"/>
  <c r="M137" i="7" a="1"/>
  <c r="M123" i="7" a="1"/>
  <c r="M109" i="7" a="1"/>
  <c r="M95" i="7" a="1"/>
  <c r="D68" i="5"/>
  <c r="D90" i="5"/>
  <c r="D44" i="5"/>
  <c r="I42" i="5" a="1"/>
  <c r="I42" i="5" s="1"/>
  <c r="I68" i="5" a="1"/>
  <c r="I71" i="5" s="1"/>
  <c r="D57" i="5"/>
  <c r="I57" i="5" s="1" a="1"/>
  <c r="I57" i="5" s="1"/>
  <c r="I75" i="5"/>
  <c r="J76" i="5"/>
  <c r="I74" i="5"/>
  <c r="J75" i="5"/>
  <c r="K76" i="5"/>
  <c r="K74" i="5"/>
  <c r="I76" i="5"/>
  <c r="J74" i="5"/>
  <c r="K63" i="5"/>
  <c r="I65" i="5"/>
  <c r="I64" i="5"/>
  <c r="J65" i="5"/>
  <c r="I63" i="5"/>
  <c r="J64" i="5"/>
  <c r="K65" i="5"/>
  <c r="J63" i="5"/>
  <c r="K52" i="5"/>
  <c r="I54" i="5"/>
  <c r="I53" i="5"/>
  <c r="J54" i="5"/>
  <c r="I52" i="5"/>
  <c r="J53" i="5"/>
  <c r="K54" i="5"/>
  <c r="J52" i="5"/>
  <c r="I38" i="5"/>
  <c r="I39" i="5"/>
  <c r="K37" i="5"/>
  <c r="K38" i="5"/>
  <c r="J37" i="5"/>
  <c r="J39" i="5"/>
  <c r="K39" i="5"/>
  <c r="J38" i="5"/>
  <c r="H29" i="5"/>
  <c r="I29" i="5" s="1"/>
  <c r="O65" i="9"/>
  <c r="P65" i="9"/>
  <c r="O64" i="9"/>
  <c r="P64" i="9"/>
  <c r="N64" i="9"/>
  <c r="N65" i="9"/>
  <c r="O63" i="9"/>
  <c r="P63" i="9"/>
  <c r="N63" i="9"/>
  <c r="O61" i="9"/>
  <c r="P61" i="9"/>
  <c r="O60" i="9"/>
  <c r="P60" i="9"/>
  <c r="N60" i="9"/>
  <c r="N61" i="9"/>
  <c r="O59" i="9"/>
  <c r="P59" i="9"/>
  <c r="N59" i="9"/>
  <c r="O53" i="9"/>
  <c r="P53" i="9"/>
  <c r="O52" i="9"/>
  <c r="P52" i="9"/>
  <c r="N52" i="9"/>
  <c r="N53" i="9"/>
  <c r="O51" i="9"/>
  <c r="P51" i="9"/>
  <c r="N51" i="9"/>
  <c r="M48" i="9"/>
  <c r="F59" i="9"/>
  <c r="E59" i="9"/>
  <c r="D51" i="9"/>
  <c r="F51" i="9"/>
  <c r="E48" i="9"/>
  <c r="D48" i="9"/>
  <c r="E51" i="9"/>
  <c r="O43" i="9"/>
  <c r="P43" i="9"/>
  <c r="O42" i="9"/>
  <c r="P42" i="9"/>
  <c r="N42" i="9"/>
  <c r="O41" i="9"/>
  <c r="P41" i="9"/>
  <c r="O31" i="9"/>
  <c r="P31" i="9"/>
  <c r="O30" i="9"/>
  <c r="P30" i="9"/>
  <c r="O29" i="9"/>
  <c r="P29" i="9"/>
  <c r="N30" i="9"/>
  <c r="N31" i="9"/>
  <c r="N29" i="9"/>
  <c r="N37" i="9"/>
  <c r="M34" i="9"/>
  <c r="B34" i="9"/>
  <c r="D29" i="9"/>
  <c r="I26" i="9" a="1"/>
  <c r="I26" i="9" s="1"/>
  <c r="F37" i="9"/>
  <c r="E34" i="9"/>
  <c r="D34" i="9"/>
  <c r="E37" i="9"/>
  <c r="F29" i="9"/>
  <c r="E26" i="9"/>
  <c r="D26" i="9"/>
  <c r="E29" i="9"/>
  <c r="O22" i="9"/>
  <c r="O23" i="9"/>
  <c r="P23" i="9"/>
  <c r="P22" i="9"/>
  <c r="N22" i="9"/>
  <c r="N23" i="9"/>
  <c r="O21" i="9"/>
  <c r="P21" i="9"/>
  <c r="J21" i="9" a="1"/>
  <c r="J21" i="9" s="1"/>
  <c r="H21" i="9" a="1"/>
  <c r="H21" i="9" s="1"/>
  <c r="F21" i="9"/>
  <c r="E21" i="9"/>
  <c r="D21" i="9"/>
  <c r="K18" i="9"/>
  <c r="I18" i="9"/>
  <c r="F18" i="9"/>
  <c r="E18" i="9"/>
  <c r="B18" i="9"/>
  <c r="D18" i="9"/>
  <c r="B6" i="9"/>
  <c r="B4" i="9"/>
  <c r="K20" i="8"/>
  <c r="N145" i="8" a="1"/>
  <c r="N145" i="8" s="1"/>
  <c r="E150" i="8"/>
  <c r="L150" i="8"/>
  <c r="K150" i="8"/>
  <c r="J150" i="8"/>
  <c r="I150" i="8"/>
  <c r="H150" i="8"/>
  <c r="G150" i="8"/>
  <c r="F150" i="8"/>
  <c r="J147" i="8"/>
  <c r="I147" i="8"/>
  <c r="H147" i="8"/>
  <c r="G147" i="8"/>
  <c r="F147" i="8"/>
  <c r="E147" i="8"/>
  <c r="K146" i="8"/>
  <c r="J146" i="8"/>
  <c r="I146" i="8"/>
  <c r="H146" i="8"/>
  <c r="G146" i="8"/>
  <c r="F146" i="8"/>
  <c r="E146" i="8"/>
  <c r="K145" i="8"/>
  <c r="J145" i="8"/>
  <c r="I145" i="8"/>
  <c r="H145" i="8"/>
  <c r="G145" i="8"/>
  <c r="Q74" i="7" l="1"/>
  <c r="V114" i="7"/>
  <c r="X114" i="7"/>
  <c r="X113" i="7"/>
  <c r="W112" i="7"/>
  <c r="V111" i="7"/>
  <c r="U110" i="7"/>
  <c r="Y110" i="7"/>
  <c r="X109" i="7"/>
  <c r="T112" i="7"/>
  <c r="Y114" i="7"/>
  <c r="X112" i="7"/>
  <c r="V110" i="7"/>
  <c r="Y109" i="7"/>
  <c r="U112" i="7"/>
  <c r="X111" i="7"/>
  <c r="V109" i="7"/>
  <c r="T114" i="7"/>
  <c r="U114" i="7"/>
  <c r="V112" i="7"/>
  <c r="Y111" i="7"/>
  <c r="W109" i="7"/>
  <c r="T109" i="7"/>
  <c r="Y113" i="7"/>
  <c r="W111" i="7"/>
  <c r="U109" i="7"/>
  <c r="T113" i="7"/>
  <c r="U113" i="7"/>
  <c r="Y112" i="7"/>
  <c r="W110" i="7"/>
  <c r="T110" i="7"/>
  <c r="W113" i="7"/>
  <c r="U111" i="7"/>
  <c r="X110" i="7"/>
  <c r="T111" i="7"/>
  <c r="V113" i="7"/>
  <c r="W114" i="7"/>
  <c r="I81" i="5"/>
  <c r="I82" i="5"/>
  <c r="I80" i="5"/>
  <c r="K79" i="5" s="1" a="1"/>
  <c r="I44" i="5"/>
  <c r="K73" i="9"/>
  <c r="J73" i="9"/>
  <c r="P83" i="7"/>
  <c r="M85" i="7"/>
  <c r="T85" i="7" s="1"/>
  <c r="N85" i="7"/>
  <c r="Q81" i="7"/>
  <c r="M83" i="7"/>
  <c r="N83" i="7"/>
  <c r="U83" i="7" s="1"/>
  <c r="R86" i="7"/>
  <c r="P81" i="7"/>
  <c r="M84" i="7"/>
  <c r="N84" i="7"/>
  <c r="U84" i="7" s="1"/>
  <c r="R84" i="7"/>
  <c r="Q86" i="7"/>
  <c r="P84" i="7"/>
  <c r="W84" i="7" s="1"/>
  <c r="M86" i="7"/>
  <c r="T86" i="7" s="1"/>
  <c r="O83" i="7"/>
  <c r="Q83" i="7"/>
  <c r="R83" i="7"/>
  <c r="Y83" i="7" s="1"/>
  <c r="M81" i="7"/>
  <c r="T81" i="7" s="1"/>
  <c r="O84" i="7"/>
  <c r="O82" i="7"/>
  <c r="P82" i="7"/>
  <c r="W82" i="7" s="1"/>
  <c r="P85" i="7"/>
  <c r="W85" i="7" s="1"/>
  <c r="O85" i="7"/>
  <c r="N86" i="7"/>
  <c r="N82" i="7"/>
  <c r="U82" i="7" s="1"/>
  <c r="O86" i="7"/>
  <c r="V86" i="7" s="1"/>
  <c r="P86" i="7"/>
  <c r="O81" i="7"/>
  <c r="V81" i="7" s="1"/>
  <c r="Q84" i="7"/>
  <c r="X84" i="7" s="1"/>
  <c r="Q82" i="7"/>
  <c r="X82" i="7" s="1"/>
  <c r="M82" i="7"/>
  <c r="T82" i="7" s="1"/>
  <c r="Q85" i="7"/>
  <c r="X85" i="7" s="1"/>
  <c r="R85" i="7"/>
  <c r="Y85" i="7" s="1"/>
  <c r="R81" i="7"/>
  <c r="Y81" i="7" s="1"/>
  <c r="N81" i="7"/>
  <c r="Y84" i="7"/>
  <c r="X86" i="7"/>
  <c r="V83" i="7"/>
  <c r="X83" i="7"/>
  <c r="V84" i="7"/>
  <c r="V82" i="7"/>
  <c r="V85" i="7"/>
  <c r="U86" i="7"/>
  <c r="W86" i="7"/>
  <c r="W83" i="7"/>
  <c r="U85" i="7"/>
  <c r="X81" i="7"/>
  <c r="T83" i="7"/>
  <c r="Y86" i="7"/>
  <c r="W81" i="7"/>
  <c r="T84" i="7"/>
  <c r="U81" i="7"/>
  <c r="Y82" i="7"/>
  <c r="P156" i="7"/>
  <c r="R155" i="7"/>
  <c r="N155" i="7"/>
  <c r="P154" i="7"/>
  <c r="R153" i="7"/>
  <c r="N153" i="7"/>
  <c r="P152" i="7"/>
  <c r="R151" i="7"/>
  <c r="N151" i="7"/>
  <c r="Q154" i="7"/>
  <c r="O153" i="7"/>
  <c r="O151" i="7"/>
  <c r="O156" i="7"/>
  <c r="Q155" i="7"/>
  <c r="M155" i="7"/>
  <c r="O154" i="7"/>
  <c r="Q153" i="7"/>
  <c r="M153" i="7"/>
  <c r="O152" i="7"/>
  <c r="Q151" i="7"/>
  <c r="M151" i="7"/>
  <c r="M156" i="7"/>
  <c r="O155" i="7"/>
  <c r="Q152" i="7"/>
  <c r="R156" i="7"/>
  <c r="N156" i="7"/>
  <c r="P155" i="7"/>
  <c r="R154" i="7"/>
  <c r="N154" i="7"/>
  <c r="P153" i="7"/>
  <c r="R152" i="7"/>
  <c r="N152" i="7"/>
  <c r="P151" i="7"/>
  <c r="Q156" i="7"/>
  <c r="M154" i="7"/>
  <c r="M152" i="7"/>
  <c r="P142" i="7"/>
  <c r="W142" i="7" s="1"/>
  <c r="R141" i="7"/>
  <c r="Y141" i="7" s="1"/>
  <c r="N141" i="7"/>
  <c r="U141" i="7" s="1"/>
  <c r="P140" i="7"/>
  <c r="W140" i="7" s="1"/>
  <c r="R139" i="7"/>
  <c r="Y139" i="7" s="1"/>
  <c r="N139" i="7"/>
  <c r="U139" i="7" s="1"/>
  <c r="P138" i="7"/>
  <c r="W138" i="7" s="1"/>
  <c r="R137" i="7"/>
  <c r="Y137" i="7" s="1"/>
  <c r="N137" i="7"/>
  <c r="U137" i="7" s="1"/>
  <c r="Q142" i="7"/>
  <c r="X142" i="7" s="1"/>
  <c r="O141" i="7"/>
  <c r="V141" i="7" s="1"/>
  <c r="M140" i="7"/>
  <c r="T140" i="7" s="1"/>
  <c r="Q138" i="7"/>
  <c r="X138" i="7" s="1"/>
  <c r="O137" i="7"/>
  <c r="V137" i="7" s="1"/>
  <c r="O142" i="7"/>
  <c r="V142" i="7" s="1"/>
  <c r="Q141" i="7"/>
  <c r="X141" i="7" s="1"/>
  <c r="M141" i="7"/>
  <c r="T141" i="7" s="1"/>
  <c r="O140" i="7"/>
  <c r="V140" i="7" s="1"/>
  <c r="Q139" i="7"/>
  <c r="X139" i="7" s="1"/>
  <c r="M139" i="7"/>
  <c r="T139" i="7" s="1"/>
  <c r="O138" i="7"/>
  <c r="V138" i="7" s="1"/>
  <c r="Q137" i="7"/>
  <c r="X137" i="7" s="1"/>
  <c r="M137" i="7"/>
  <c r="T137" i="7" s="1"/>
  <c r="Q140" i="7"/>
  <c r="X140" i="7" s="1"/>
  <c r="O139" i="7"/>
  <c r="V139" i="7" s="1"/>
  <c r="M138" i="7"/>
  <c r="T138" i="7" s="1"/>
  <c r="R142" i="7"/>
  <c r="Y142" i="7" s="1"/>
  <c r="N142" i="7"/>
  <c r="U142" i="7" s="1"/>
  <c r="P141" i="7"/>
  <c r="W141" i="7" s="1"/>
  <c r="R140" i="7"/>
  <c r="Y140" i="7" s="1"/>
  <c r="N140" i="7"/>
  <c r="U140" i="7" s="1"/>
  <c r="P139" i="7"/>
  <c r="W139" i="7" s="1"/>
  <c r="R138" i="7"/>
  <c r="Y138" i="7" s="1"/>
  <c r="N138" i="7"/>
  <c r="U138" i="7" s="1"/>
  <c r="P137" i="7"/>
  <c r="W137" i="7" s="1"/>
  <c r="M142" i="7"/>
  <c r="T142" i="7" s="1"/>
  <c r="P128" i="7"/>
  <c r="R127" i="7"/>
  <c r="N127" i="7"/>
  <c r="P126" i="7"/>
  <c r="R125" i="7"/>
  <c r="N125" i="7"/>
  <c r="P124" i="7"/>
  <c r="R123" i="7"/>
  <c r="N123" i="7"/>
  <c r="M128" i="7"/>
  <c r="O127" i="7"/>
  <c r="O125" i="7"/>
  <c r="M124" i="7"/>
  <c r="O128" i="7"/>
  <c r="Q127" i="7"/>
  <c r="M127" i="7"/>
  <c r="O126" i="7"/>
  <c r="Q125" i="7"/>
  <c r="M125" i="7"/>
  <c r="O124" i="7"/>
  <c r="Q123" i="7"/>
  <c r="M123" i="7"/>
  <c r="Q128" i="7"/>
  <c r="Q126" i="7"/>
  <c r="Q124" i="7"/>
  <c r="O123" i="7"/>
  <c r="R128" i="7"/>
  <c r="N128" i="7"/>
  <c r="P127" i="7"/>
  <c r="R126" i="7"/>
  <c r="N126" i="7"/>
  <c r="P125" i="7"/>
  <c r="R124" i="7"/>
  <c r="N124" i="7"/>
  <c r="P123" i="7"/>
  <c r="M126" i="7"/>
  <c r="P114" i="7"/>
  <c r="R113" i="7"/>
  <c r="N113" i="7"/>
  <c r="P112" i="7"/>
  <c r="R111" i="7"/>
  <c r="N111" i="7"/>
  <c r="P110" i="7"/>
  <c r="R109" i="7"/>
  <c r="N109" i="7"/>
  <c r="O114" i="7"/>
  <c r="O110" i="7"/>
  <c r="M109" i="7"/>
  <c r="Q113" i="7"/>
  <c r="M113" i="7"/>
  <c r="O112" i="7"/>
  <c r="Q111" i="7"/>
  <c r="M111" i="7"/>
  <c r="Q109" i="7"/>
  <c r="R114" i="7"/>
  <c r="N114" i="7"/>
  <c r="P113" i="7"/>
  <c r="R112" i="7"/>
  <c r="N112" i="7"/>
  <c r="P111" i="7"/>
  <c r="R110" i="7"/>
  <c r="N110" i="7"/>
  <c r="P109" i="7"/>
  <c r="Q114" i="7"/>
  <c r="M114" i="7"/>
  <c r="O113" i="7"/>
  <c r="Q112" i="7"/>
  <c r="M112" i="7"/>
  <c r="O111" i="7"/>
  <c r="Q110" i="7"/>
  <c r="M110" i="7"/>
  <c r="O109" i="7"/>
  <c r="P100" i="7"/>
  <c r="R99" i="7"/>
  <c r="N99" i="7"/>
  <c r="P98" i="7"/>
  <c r="R97" i="7"/>
  <c r="N97" i="7"/>
  <c r="P96" i="7"/>
  <c r="R95" i="7"/>
  <c r="N95" i="7"/>
  <c r="Q100" i="7"/>
  <c r="M100" i="7"/>
  <c r="Q98" i="7"/>
  <c r="M98" i="7"/>
  <c r="Q96" i="7"/>
  <c r="O95" i="7"/>
  <c r="O100" i="7"/>
  <c r="Q99" i="7"/>
  <c r="M99" i="7"/>
  <c r="O98" i="7"/>
  <c r="Q97" i="7"/>
  <c r="M97" i="7"/>
  <c r="O96" i="7"/>
  <c r="Q95" i="7"/>
  <c r="M95" i="7"/>
  <c r="O99" i="7"/>
  <c r="O97" i="7"/>
  <c r="M96" i="7"/>
  <c r="R100" i="7"/>
  <c r="N100" i="7"/>
  <c r="P99" i="7"/>
  <c r="R98" i="7"/>
  <c r="N98" i="7"/>
  <c r="P97" i="7"/>
  <c r="R96" i="7"/>
  <c r="N96" i="7"/>
  <c r="P95" i="7"/>
  <c r="I45" i="5"/>
  <c r="M37" i="5" a="1"/>
  <c r="I43" i="5"/>
  <c r="I68" i="5"/>
  <c r="M85" i="5" a="1"/>
  <c r="M85" i="5" s="1"/>
  <c r="O85" i="5" s="1"/>
  <c r="I69" i="5"/>
  <c r="I70" i="5"/>
  <c r="I90" i="5" a="1"/>
  <c r="D92" i="5"/>
  <c r="I60" i="5"/>
  <c r="I58" i="5"/>
  <c r="I59" i="5"/>
  <c r="M74" i="5" a="1"/>
  <c r="M74" i="5" s="1"/>
  <c r="O74" i="5" s="1"/>
  <c r="M63" i="5" a="1"/>
  <c r="M63" i="5" s="1"/>
  <c r="O63" i="5" s="1"/>
  <c r="M52" i="5" a="1"/>
  <c r="M52" i="5" s="1"/>
  <c r="F56" i="9"/>
  <c r="K56" i="9" s="1"/>
  <c r="M56" i="9" s="1"/>
  <c r="H59" i="9" a="1"/>
  <c r="F48" i="9"/>
  <c r="I48" i="9" s="1"/>
  <c r="K48" i="9" s="1"/>
  <c r="H51" i="9" a="1"/>
  <c r="F34" i="9"/>
  <c r="I34" i="9" s="1"/>
  <c r="K34" i="9" s="1"/>
  <c r="D37" i="9"/>
  <c r="H37" i="9" s="1" a="1"/>
  <c r="F26" i="9"/>
  <c r="K26" i="9" s="1"/>
  <c r="M26" i="9" s="1"/>
  <c r="H29" i="9" a="1"/>
  <c r="K23" i="9"/>
  <c r="J23" i="9"/>
  <c r="L22" i="9"/>
  <c r="J22" i="9"/>
  <c r="L21" i="9"/>
  <c r="K21" i="9"/>
  <c r="L23" i="9"/>
  <c r="K22" i="9"/>
  <c r="H23" i="9"/>
  <c r="H22" i="9"/>
  <c r="O147" i="8"/>
  <c r="S147" i="8" s="1"/>
  <c r="N147" i="8"/>
  <c r="R147" i="8" s="1"/>
  <c r="P145" i="8"/>
  <c r="T145" i="8" s="1"/>
  <c r="N146" i="8"/>
  <c r="R146" i="8" s="1"/>
  <c r="P146" i="8"/>
  <c r="T146" i="8" s="1"/>
  <c r="O145" i="8"/>
  <c r="S145" i="8" s="1"/>
  <c r="P147" i="8"/>
  <c r="T147" i="8" s="1"/>
  <c r="O146" i="8"/>
  <c r="S146" i="8" s="1"/>
  <c r="N150" i="8" a="1"/>
  <c r="N157" i="8" s="1"/>
  <c r="R145" i="8"/>
  <c r="N150" i="8"/>
  <c r="N154" i="8"/>
  <c r="N151" i="8"/>
  <c r="N155" i="8"/>
  <c r="N152" i="8"/>
  <c r="N156" i="8"/>
  <c r="N153" i="8"/>
  <c r="L125" i="8"/>
  <c r="K125" i="8"/>
  <c r="J125" i="8"/>
  <c r="I125" i="8"/>
  <c r="H125" i="8"/>
  <c r="G125" i="8"/>
  <c r="F125" i="8"/>
  <c r="E125" i="8"/>
  <c r="N125" i="8" s="1" a="1"/>
  <c r="L110" i="8"/>
  <c r="K110" i="8"/>
  <c r="J110" i="8"/>
  <c r="I110" i="8"/>
  <c r="H110" i="8"/>
  <c r="G110" i="8"/>
  <c r="F110" i="8"/>
  <c r="E110" i="8"/>
  <c r="N110" i="8" s="1" a="1"/>
  <c r="E95" i="8"/>
  <c r="L95" i="8"/>
  <c r="K95" i="8"/>
  <c r="J95" i="8"/>
  <c r="I95" i="8"/>
  <c r="H95" i="8"/>
  <c r="G95" i="8"/>
  <c r="F95" i="8"/>
  <c r="N95" i="8" a="1"/>
  <c r="L80" i="8"/>
  <c r="K80" i="8"/>
  <c r="J80" i="8"/>
  <c r="I80" i="8"/>
  <c r="H80" i="8"/>
  <c r="G80" i="8"/>
  <c r="F80" i="8"/>
  <c r="E80" i="8"/>
  <c r="N80" i="8" s="1" a="1"/>
  <c r="L65" i="8"/>
  <c r="K65" i="8"/>
  <c r="J65" i="8"/>
  <c r="I65" i="8"/>
  <c r="H65" i="8"/>
  <c r="G65" i="8"/>
  <c r="F65" i="8"/>
  <c r="E65" i="8"/>
  <c r="N65" i="8" s="1" a="1"/>
  <c r="L50" i="8"/>
  <c r="K50" i="8"/>
  <c r="J50" i="8"/>
  <c r="I50" i="8"/>
  <c r="H50" i="8"/>
  <c r="G50" i="8"/>
  <c r="F50" i="8"/>
  <c r="E50" i="8"/>
  <c r="N50" i="8" s="1" a="1"/>
  <c r="L35" i="8"/>
  <c r="K35" i="8"/>
  <c r="J35" i="8"/>
  <c r="I35" i="8"/>
  <c r="H35" i="8"/>
  <c r="G35" i="8"/>
  <c r="F35" i="8"/>
  <c r="E35" i="8"/>
  <c r="N35" i="8" s="1" a="1"/>
  <c r="P20" i="8" a="1"/>
  <c r="P20" i="8" s="1"/>
  <c r="R20" i="8"/>
  <c r="S20" i="8"/>
  <c r="W20" i="8"/>
  <c r="R21" i="8"/>
  <c r="S21" i="8"/>
  <c r="W21" i="8"/>
  <c r="S22" i="8"/>
  <c r="W22" i="8"/>
  <c r="S23" i="8"/>
  <c r="W23" i="8"/>
  <c r="S24" i="8"/>
  <c r="W24" i="8"/>
  <c r="S25" i="8"/>
  <c r="W25" i="8"/>
  <c r="S26" i="8"/>
  <c r="W26" i="8"/>
  <c r="S27" i="8"/>
  <c r="W27" i="8"/>
  <c r="N20" i="8" a="1"/>
  <c r="N20" i="8" s="1"/>
  <c r="L20" i="8"/>
  <c r="I20" i="8"/>
  <c r="J20" i="8"/>
  <c r="H20" i="8"/>
  <c r="G20" i="8"/>
  <c r="F20" i="8"/>
  <c r="E20" i="8"/>
  <c r="E120" i="8"/>
  <c r="L122" i="8"/>
  <c r="K122" i="8"/>
  <c r="J122" i="8"/>
  <c r="I122" i="8"/>
  <c r="H122" i="8"/>
  <c r="G122" i="8"/>
  <c r="F122" i="8"/>
  <c r="E122" i="8"/>
  <c r="L121" i="8"/>
  <c r="K121" i="8"/>
  <c r="J121" i="8"/>
  <c r="I121" i="8"/>
  <c r="H121" i="8"/>
  <c r="G121" i="8"/>
  <c r="F121" i="8"/>
  <c r="E121" i="8"/>
  <c r="K120" i="8"/>
  <c r="J120" i="8"/>
  <c r="I120" i="8"/>
  <c r="H120" i="8"/>
  <c r="G120" i="8"/>
  <c r="N120" i="8" s="1" a="1"/>
  <c r="N122" i="8" s="1"/>
  <c r="R122" i="8" s="1"/>
  <c r="F120" i="8"/>
  <c r="L107" i="8"/>
  <c r="K107" i="8"/>
  <c r="J107" i="8"/>
  <c r="I107" i="8"/>
  <c r="H107" i="8"/>
  <c r="G107" i="8"/>
  <c r="F107" i="8"/>
  <c r="E107" i="8"/>
  <c r="L106" i="8"/>
  <c r="K106" i="8"/>
  <c r="J106" i="8"/>
  <c r="I106" i="8"/>
  <c r="H106" i="8"/>
  <c r="G106" i="8"/>
  <c r="F106" i="8"/>
  <c r="E106" i="8"/>
  <c r="K105" i="8"/>
  <c r="J105" i="8"/>
  <c r="I105" i="8"/>
  <c r="H105" i="8"/>
  <c r="G105" i="8"/>
  <c r="F105" i="8"/>
  <c r="E105" i="8"/>
  <c r="L92" i="8"/>
  <c r="K92" i="8"/>
  <c r="J92" i="8"/>
  <c r="I92" i="8"/>
  <c r="H92" i="8"/>
  <c r="G92" i="8"/>
  <c r="F92" i="8"/>
  <c r="E92" i="8"/>
  <c r="L91" i="8"/>
  <c r="K91" i="8"/>
  <c r="J91" i="8"/>
  <c r="I91" i="8"/>
  <c r="H91" i="8"/>
  <c r="G91" i="8"/>
  <c r="F91" i="8"/>
  <c r="E91" i="8"/>
  <c r="K90" i="8"/>
  <c r="J90" i="8"/>
  <c r="I90" i="8"/>
  <c r="H90" i="8"/>
  <c r="G90" i="8"/>
  <c r="F90" i="8"/>
  <c r="E90" i="8"/>
  <c r="L77" i="8"/>
  <c r="K77" i="8"/>
  <c r="J77" i="8"/>
  <c r="I77" i="8"/>
  <c r="H77" i="8"/>
  <c r="G77" i="8"/>
  <c r="F77" i="8"/>
  <c r="E77" i="8"/>
  <c r="L76" i="8"/>
  <c r="K76" i="8"/>
  <c r="J76" i="8"/>
  <c r="I76" i="8"/>
  <c r="H76" i="8"/>
  <c r="G76" i="8"/>
  <c r="F76" i="8"/>
  <c r="E76" i="8"/>
  <c r="K75" i="8"/>
  <c r="J75" i="8"/>
  <c r="I75" i="8"/>
  <c r="H75" i="8"/>
  <c r="G75" i="8"/>
  <c r="F75" i="8"/>
  <c r="E75" i="8"/>
  <c r="L62" i="8"/>
  <c r="K62" i="8"/>
  <c r="J62" i="8"/>
  <c r="I62" i="8"/>
  <c r="H62" i="8"/>
  <c r="G62" i="8"/>
  <c r="F62" i="8"/>
  <c r="E62" i="8"/>
  <c r="L61" i="8"/>
  <c r="K61" i="8"/>
  <c r="J61" i="8"/>
  <c r="I61" i="8"/>
  <c r="H61" i="8"/>
  <c r="G61" i="8"/>
  <c r="F61" i="8"/>
  <c r="E61" i="8"/>
  <c r="K60" i="8"/>
  <c r="J60" i="8"/>
  <c r="I60" i="8"/>
  <c r="H60" i="8"/>
  <c r="G60" i="8"/>
  <c r="F60" i="8"/>
  <c r="E60" i="8"/>
  <c r="L47" i="8"/>
  <c r="K47" i="8"/>
  <c r="J47" i="8"/>
  <c r="I47" i="8"/>
  <c r="H47" i="8"/>
  <c r="G47" i="8"/>
  <c r="F47" i="8"/>
  <c r="E47" i="8"/>
  <c r="L46" i="8"/>
  <c r="K46" i="8"/>
  <c r="J46" i="8"/>
  <c r="I46" i="8"/>
  <c r="H46" i="8"/>
  <c r="G46" i="8"/>
  <c r="F46" i="8"/>
  <c r="E46" i="8"/>
  <c r="K45" i="8"/>
  <c r="J45" i="8"/>
  <c r="I45" i="8"/>
  <c r="H45" i="8"/>
  <c r="G45" i="8"/>
  <c r="F45" i="8"/>
  <c r="E45" i="8"/>
  <c r="L32" i="8"/>
  <c r="K32" i="8"/>
  <c r="J32" i="8"/>
  <c r="I32" i="8"/>
  <c r="H32" i="8"/>
  <c r="G32" i="8"/>
  <c r="F32" i="8"/>
  <c r="E32" i="8"/>
  <c r="L31" i="8"/>
  <c r="K31" i="8"/>
  <c r="J31" i="8"/>
  <c r="I31" i="8"/>
  <c r="H31" i="8"/>
  <c r="G31" i="8"/>
  <c r="F31" i="8"/>
  <c r="E31" i="8"/>
  <c r="K30" i="8"/>
  <c r="J30" i="8"/>
  <c r="I30" i="8"/>
  <c r="H30" i="8"/>
  <c r="G30" i="8"/>
  <c r="F30" i="8"/>
  <c r="E30" i="8"/>
  <c r="L17" i="8"/>
  <c r="K17" i="8"/>
  <c r="J17" i="8"/>
  <c r="I17" i="8"/>
  <c r="H17" i="8"/>
  <c r="G17" i="8"/>
  <c r="F17" i="8"/>
  <c r="E17" i="8"/>
  <c r="L16" i="8"/>
  <c r="J16" i="8"/>
  <c r="I16" i="8"/>
  <c r="H16" i="8"/>
  <c r="G16" i="8"/>
  <c r="F16" i="8"/>
  <c r="E16" i="8"/>
  <c r="K15" i="8"/>
  <c r="J15" i="8"/>
  <c r="I15" i="8"/>
  <c r="H15" i="8"/>
  <c r="G15" i="8"/>
  <c r="F15" i="8"/>
  <c r="H5" i="8"/>
  <c r="F4" i="8"/>
  <c r="U158" i="7" l="1"/>
  <c r="V161" i="7"/>
  <c r="V158" i="7"/>
  <c r="X162" i="7"/>
  <c r="W163" i="7"/>
  <c r="K42" i="5" a="1"/>
  <c r="Y162" i="7"/>
  <c r="T159" i="7"/>
  <c r="U162" i="7"/>
  <c r="T161" i="7"/>
  <c r="Y159" i="7"/>
  <c r="W160" i="7"/>
  <c r="V162" i="7"/>
  <c r="T160" i="7"/>
  <c r="V159" i="7"/>
  <c r="Y163" i="7"/>
  <c r="U163" i="7"/>
  <c r="V160" i="7"/>
  <c r="X159" i="7"/>
  <c r="W162" i="7"/>
  <c r="U160" i="7"/>
  <c r="T162" i="7"/>
  <c r="X163" i="7"/>
  <c r="U159" i="7"/>
  <c r="Y160" i="7"/>
  <c r="W158" i="7"/>
  <c r="U161" i="7"/>
  <c r="T158" i="7"/>
  <c r="X160" i="7"/>
  <c r="V163" i="7"/>
  <c r="X161" i="7"/>
  <c r="Y158" i="7"/>
  <c r="Y161" i="7"/>
  <c r="X158" i="7"/>
  <c r="T163" i="7"/>
  <c r="W159" i="7"/>
  <c r="W161" i="7"/>
  <c r="K57" i="5" a="1"/>
  <c r="N58" i="5" s="1"/>
  <c r="S58" i="5" s="1"/>
  <c r="K68" i="5" a="1"/>
  <c r="N70" i="5" s="1"/>
  <c r="S70" i="5" s="1"/>
  <c r="L42" i="5"/>
  <c r="K43" i="5"/>
  <c r="N43" i="5"/>
  <c r="M43" i="5"/>
  <c r="L43" i="5"/>
  <c r="M45" i="5"/>
  <c r="K44" i="5"/>
  <c r="N44" i="5"/>
  <c r="M44" i="5"/>
  <c r="L44" i="5"/>
  <c r="K42" i="5"/>
  <c r="N42" i="5"/>
  <c r="M42" i="5"/>
  <c r="L45" i="5"/>
  <c r="K45" i="5"/>
  <c r="N45" i="5"/>
  <c r="I92" i="5"/>
  <c r="I93" i="5"/>
  <c r="I91" i="5"/>
  <c r="I90" i="5"/>
  <c r="N90" i="8" a="1"/>
  <c r="N92" i="8" s="1"/>
  <c r="R92" i="8" s="1"/>
  <c r="S15" i="8"/>
  <c r="T16" i="8"/>
  <c r="N82" i="5"/>
  <c r="S82" i="5" s="1"/>
  <c r="N81" i="5"/>
  <c r="S81" i="5" s="1"/>
  <c r="N80" i="5"/>
  <c r="S80" i="5" s="1"/>
  <c r="N79" i="5"/>
  <c r="S79" i="5" s="1"/>
  <c r="K82" i="5"/>
  <c r="P82" i="5" s="1"/>
  <c r="K81" i="5"/>
  <c r="P81" i="5" s="1"/>
  <c r="K79" i="5"/>
  <c r="P79" i="5" s="1"/>
  <c r="M82" i="5"/>
  <c r="R82" i="5" s="1"/>
  <c r="M81" i="5"/>
  <c r="R81" i="5" s="1"/>
  <c r="M80" i="5"/>
  <c r="R80" i="5" s="1"/>
  <c r="M79" i="5"/>
  <c r="R79" i="5" s="1"/>
  <c r="K80" i="5"/>
  <c r="P80" i="5" s="1"/>
  <c r="L82" i="5"/>
  <c r="Q82" i="5" s="1"/>
  <c r="L81" i="5"/>
  <c r="Q81" i="5" s="1"/>
  <c r="L80" i="5"/>
  <c r="Q80" i="5" s="1"/>
  <c r="L79" i="5"/>
  <c r="Q79" i="5" s="1"/>
  <c r="N71" i="5"/>
  <c r="S71" i="5" s="1"/>
  <c r="L71" i="5"/>
  <c r="Q71" i="5" s="1"/>
  <c r="M68" i="5"/>
  <c r="R68" i="5" s="1"/>
  <c r="L68" i="5"/>
  <c r="Q68" i="5" s="1"/>
  <c r="K68" i="5"/>
  <c r="P68" i="5" s="1"/>
  <c r="N60" i="5"/>
  <c r="S60" i="5" s="1"/>
  <c r="N59" i="5"/>
  <c r="S59" i="5" s="1"/>
  <c r="N57" i="5"/>
  <c r="S57" i="5" s="1"/>
  <c r="M60" i="5"/>
  <c r="R60" i="5" s="1"/>
  <c r="M58" i="5"/>
  <c r="R58" i="5" s="1"/>
  <c r="M57" i="5"/>
  <c r="R57" i="5" s="1"/>
  <c r="L57" i="5"/>
  <c r="Q57" i="5" s="1"/>
  <c r="K60" i="5"/>
  <c r="P60" i="5" s="1"/>
  <c r="K59" i="5"/>
  <c r="P59" i="5" s="1"/>
  <c r="K57" i="5"/>
  <c r="P57" i="5" s="1"/>
  <c r="M37" i="5"/>
  <c r="O37" i="5" s="1"/>
  <c r="H60" i="9"/>
  <c r="H59" i="9"/>
  <c r="H61" i="9"/>
  <c r="H52" i="9"/>
  <c r="H53" i="9"/>
  <c r="H51" i="9"/>
  <c r="H38" i="9"/>
  <c r="H37" i="9"/>
  <c r="H39" i="9"/>
  <c r="H30" i="9"/>
  <c r="H29" i="9"/>
  <c r="H31" i="9"/>
  <c r="P150" i="8" a="1"/>
  <c r="V145" i="8"/>
  <c r="N129" i="8"/>
  <c r="N125" i="8"/>
  <c r="N130" i="8"/>
  <c r="N132" i="8"/>
  <c r="N128" i="8"/>
  <c r="N131" i="8"/>
  <c r="N127" i="8"/>
  <c r="N126" i="8"/>
  <c r="N116" i="8"/>
  <c r="N112" i="8"/>
  <c r="N115" i="8"/>
  <c r="N111" i="8"/>
  <c r="N117" i="8"/>
  <c r="N114" i="8"/>
  <c r="N113" i="8"/>
  <c r="N110" i="8"/>
  <c r="P110" i="8" s="1" a="1"/>
  <c r="N101" i="8"/>
  <c r="N97" i="8"/>
  <c r="N100" i="8"/>
  <c r="N96" i="8"/>
  <c r="N102" i="8"/>
  <c r="N95" i="8"/>
  <c r="P95" i="8" s="1" a="1"/>
  <c r="N99" i="8"/>
  <c r="N98" i="8"/>
  <c r="N84" i="8"/>
  <c r="N80" i="8"/>
  <c r="N87" i="8"/>
  <c r="N83" i="8"/>
  <c r="N81" i="8"/>
  <c r="N86" i="8"/>
  <c r="N82" i="8"/>
  <c r="N85" i="8"/>
  <c r="N69" i="8"/>
  <c r="N65" i="8"/>
  <c r="N70" i="8"/>
  <c r="N72" i="8"/>
  <c r="N68" i="8"/>
  <c r="N66" i="8"/>
  <c r="N71" i="8"/>
  <c r="N67" i="8"/>
  <c r="N54" i="8"/>
  <c r="N50" i="8"/>
  <c r="N51" i="8"/>
  <c r="N57" i="8"/>
  <c r="N53" i="8"/>
  <c r="N56" i="8"/>
  <c r="N52" i="8"/>
  <c r="N55" i="8"/>
  <c r="N39" i="8"/>
  <c r="N35" i="8"/>
  <c r="N37" i="8"/>
  <c r="N40" i="8"/>
  <c r="N36" i="8"/>
  <c r="N42" i="8"/>
  <c r="N38" i="8"/>
  <c r="N41" i="8"/>
  <c r="V27" i="8"/>
  <c r="R27" i="8"/>
  <c r="V26" i="8"/>
  <c r="R26" i="8"/>
  <c r="V25" i="8"/>
  <c r="R25" i="8"/>
  <c r="V24" i="8"/>
  <c r="R24" i="8"/>
  <c r="V23" i="8"/>
  <c r="R23" i="8"/>
  <c r="V22" i="8"/>
  <c r="R22" i="8"/>
  <c r="V21" i="8"/>
  <c r="V20" i="8"/>
  <c r="U27" i="8"/>
  <c r="Q27" i="8"/>
  <c r="U26" i="8"/>
  <c r="Q26" i="8"/>
  <c r="U25" i="8"/>
  <c r="Q25" i="8"/>
  <c r="U24" i="8"/>
  <c r="Q24" i="8"/>
  <c r="U23" i="8"/>
  <c r="Q23" i="8"/>
  <c r="U22" i="8"/>
  <c r="Q22" i="8"/>
  <c r="U21" i="8"/>
  <c r="Q21" i="8"/>
  <c r="U20" i="8"/>
  <c r="Q20" i="8"/>
  <c r="T27" i="8"/>
  <c r="P27" i="8"/>
  <c r="T26" i="8"/>
  <c r="P26" i="8"/>
  <c r="T25" i="8"/>
  <c r="P25" i="8"/>
  <c r="T24" i="8"/>
  <c r="P24" i="8"/>
  <c r="T23" i="8"/>
  <c r="P23" i="8"/>
  <c r="T22" i="8"/>
  <c r="P22" i="8"/>
  <c r="T21" i="8"/>
  <c r="P21" i="8"/>
  <c r="T20" i="8"/>
  <c r="N22" i="8"/>
  <c r="N25" i="8"/>
  <c r="N21" i="8"/>
  <c r="N27" i="8"/>
  <c r="N23" i="8"/>
  <c r="N26" i="8"/>
  <c r="N24" i="8"/>
  <c r="N45" i="8" a="1"/>
  <c r="N46" i="8" s="1"/>
  <c r="R46" i="8" s="1"/>
  <c r="N75" i="8" a="1"/>
  <c r="O76" i="8" s="1"/>
  <c r="S76" i="8" s="1"/>
  <c r="N105" i="8" a="1"/>
  <c r="P106" i="8" s="1"/>
  <c r="T106" i="8" s="1"/>
  <c r="N30" i="8" a="1"/>
  <c r="P32" i="8" s="1"/>
  <c r="T32" i="8" s="1"/>
  <c r="N60" i="8" a="1"/>
  <c r="P62" i="8" s="1"/>
  <c r="T62" i="8" s="1"/>
  <c r="O122" i="8"/>
  <c r="S122" i="8" s="1"/>
  <c r="O120" i="8"/>
  <c r="S120" i="8" s="1"/>
  <c r="P121" i="8"/>
  <c r="T121" i="8" s="1"/>
  <c r="N121" i="8"/>
  <c r="R121" i="8" s="1"/>
  <c r="N120" i="8"/>
  <c r="R120" i="8" s="1"/>
  <c r="O121" i="8"/>
  <c r="S121" i="8" s="1"/>
  <c r="P122" i="8"/>
  <c r="T122" i="8" s="1"/>
  <c r="P120" i="8"/>
  <c r="T120" i="8" s="1"/>
  <c r="R17" i="8"/>
  <c r="T15" i="8"/>
  <c r="T17" i="8"/>
  <c r="S16" i="8"/>
  <c r="R15" i="8"/>
  <c r="S17" i="8"/>
  <c r="R16" i="8"/>
  <c r="F53" i="7"/>
  <c r="I52" i="7"/>
  <c r="G52" i="7"/>
  <c r="F52" i="7"/>
  <c r="D52" i="7"/>
  <c r="B52" i="7"/>
  <c r="H51" i="7"/>
  <c r="G51" i="7"/>
  <c r="E51" i="7"/>
  <c r="D51" i="7"/>
  <c r="B51" i="7"/>
  <c r="B38" i="7"/>
  <c r="K37" i="7" a="1"/>
  <c r="K37" i="7" s="1"/>
  <c r="B37" i="7"/>
  <c r="D26" i="6"/>
  <c r="W145" i="8" l="1"/>
  <c r="Y150" i="8" s="1"/>
  <c r="P91" i="8"/>
  <c r="T91" i="8" s="1"/>
  <c r="P92" i="8"/>
  <c r="T92" i="8" s="1"/>
  <c r="O91" i="8"/>
  <c r="S91" i="8" s="1"/>
  <c r="L60" i="5"/>
  <c r="Q60" i="5" s="1"/>
  <c r="L58" i="5"/>
  <c r="Q58" i="5" s="1"/>
  <c r="T165" i="7"/>
  <c r="K58" i="5"/>
  <c r="P58" i="5" s="1"/>
  <c r="L59" i="5"/>
  <c r="Q59" i="5" s="1"/>
  <c r="M59" i="5"/>
  <c r="R59" i="5" s="1"/>
  <c r="K71" i="5"/>
  <c r="P71" i="5" s="1"/>
  <c r="N68" i="5"/>
  <c r="S68" i="5" s="1"/>
  <c r="K90" i="5" a="1"/>
  <c r="N92" i="5" s="1"/>
  <c r="S92" i="5" s="1"/>
  <c r="S97" i="5" s="1"/>
  <c r="M69" i="5"/>
  <c r="R69" i="5" s="1"/>
  <c r="K69" i="5"/>
  <c r="P69" i="5" s="1"/>
  <c r="L69" i="5"/>
  <c r="Q69" i="5" s="1"/>
  <c r="M70" i="5"/>
  <c r="R70" i="5" s="1"/>
  <c r="N69" i="5"/>
  <c r="S69" i="5" s="1"/>
  <c r="K70" i="5"/>
  <c r="P70" i="5" s="1"/>
  <c r="L70" i="5"/>
  <c r="Q70" i="5" s="1"/>
  <c r="M71" i="5"/>
  <c r="R71" i="5" s="1"/>
  <c r="S44" i="5"/>
  <c r="M90" i="5"/>
  <c r="R90" i="5" s="1"/>
  <c r="R95" i="5" s="1"/>
  <c r="P45" i="5"/>
  <c r="P42" i="5"/>
  <c r="P44" i="5"/>
  <c r="S43" i="5"/>
  <c r="N91" i="5"/>
  <c r="S91" i="5" s="1"/>
  <c r="S42" i="5"/>
  <c r="K93" i="5"/>
  <c r="P93" i="5" s="1"/>
  <c r="Q45" i="5"/>
  <c r="Q44" i="5"/>
  <c r="R45" i="5"/>
  <c r="P43" i="5"/>
  <c r="P98" i="5"/>
  <c r="M91" i="5"/>
  <c r="R91" i="5" s="1"/>
  <c r="S45" i="5"/>
  <c r="R43" i="5"/>
  <c r="K92" i="5"/>
  <c r="P92" i="5" s="1"/>
  <c r="K90" i="5"/>
  <c r="P90" i="5" s="1"/>
  <c r="P95" i="5" s="1"/>
  <c r="P103" i="5" s="1"/>
  <c r="R42" i="5"/>
  <c r="R44" i="5"/>
  <c r="Q43" i="5"/>
  <c r="Q42" i="5"/>
  <c r="N105" i="8"/>
  <c r="R105" i="8" s="1"/>
  <c r="O90" i="8"/>
  <c r="S90" i="8" s="1"/>
  <c r="O92" i="8"/>
  <c r="S92" i="8" s="1"/>
  <c r="N90" i="8"/>
  <c r="R90" i="8" s="1"/>
  <c r="P107" i="8"/>
  <c r="T107" i="8" s="1"/>
  <c r="N107" i="8"/>
  <c r="R107" i="8" s="1"/>
  <c r="O107" i="8"/>
  <c r="S107" i="8" s="1"/>
  <c r="N106" i="8"/>
  <c r="R106" i="8" s="1"/>
  <c r="O105" i="8"/>
  <c r="S105" i="8" s="1"/>
  <c r="P90" i="8"/>
  <c r="T90" i="8" s="1"/>
  <c r="N91" i="8"/>
  <c r="R91" i="8" s="1"/>
  <c r="O62" i="8"/>
  <c r="S62" i="8" s="1"/>
  <c r="O60" i="8"/>
  <c r="S60" i="8" s="1"/>
  <c r="O47" i="8"/>
  <c r="S47" i="8" s="1"/>
  <c r="O46" i="8"/>
  <c r="S46" i="8" s="1"/>
  <c r="K27" i="7" a="1"/>
  <c r="K27" i="7" s="1"/>
  <c r="J51" i="9" a="1"/>
  <c r="L53" i="9" s="1"/>
  <c r="J59" i="9" a="1"/>
  <c r="L52" i="9"/>
  <c r="K51" i="9"/>
  <c r="L51" i="9"/>
  <c r="K52" i="9"/>
  <c r="J51" i="9"/>
  <c r="K53" i="9"/>
  <c r="J53" i="9"/>
  <c r="J37" i="9" a="1"/>
  <c r="L37" i="9" s="1"/>
  <c r="P37" i="9" s="1"/>
  <c r="L38" i="9"/>
  <c r="P38" i="9" s="1"/>
  <c r="K37" i="9"/>
  <c r="O37" i="9" s="1"/>
  <c r="L39" i="9"/>
  <c r="P39" i="9" s="1"/>
  <c r="K38" i="9"/>
  <c r="O38" i="9" s="1"/>
  <c r="J37" i="9"/>
  <c r="J38" i="9"/>
  <c r="N38" i="9" s="1"/>
  <c r="J39" i="9"/>
  <c r="N39" i="9" s="1"/>
  <c r="J29" i="9" a="1"/>
  <c r="O45" i="8"/>
  <c r="S45" i="8" s="1"/>
  <c r="P61" i="8"/>
  <c r="T61" i="8" s="1"/>
  <c r="N45" i="8"/>
  <c r="R45" i="8" s="1"/>
  <c r="N62" i="8"/>
  <c r="R62" i="8" s="1"/>
  <c r="N77" i="8"/>
  <c r="R77" i="8" s="1"/>
  <c r="P45" i="8"/>
  <c r="T45" i="8" s="1"/>
  <c r="P47" i="8"/>
  <c r="T47" i="8" s="1"/>
  <c r="P46" i="8"/>
  <c r="T46" i="8" s="1"/>
  <c r="N60" i="8"/>
  <c r="R60" i="8" s="1"/>
  <c r="N76" i="8"/>
  <c r="R76" i="8" s="1"/>
  <c r="N75" i="8"/>
  <c r="R75" i="8" s="1"/>
  <c r="P76" i="8"/>
  <c r="T76" i="8" s="1"/>
  <c r="P75" i="8"/>
  <c r="T75" i="8" s="1"/>
  <c r="P77" i="8"/>
  <c r="T77" i="8" s="1"/>
  <c r="O75" i="8"/>
  <c r="S75" i="8" s="1"/>
  <c r="N47" i="8"/>
  <c r="R47" i="8" s="1"/>
  <c r="P60" i="8"/>
  <c r="T60" i="8" s="1"/>
  <c r="O61" i="8"/>
  <c r="S61" i="8" s="1"/>
  <c r="O77" i="8"/>
  <c r="S77" i="8" s="1"/>
  <c r="W157" i="8"/>
  <c r="AF157" i="8" s="1"/>
  <c r="S157" i="8"/>
  <c r="AB157" i="8" s="1"/>
  <c r="W156" i="8"/>
  <c r="S156" i="8"/>
  <c r="AB156" i="8" s="1"/>
  <c r="W155" i="8"/>
  <c r="AF155" i="8" s="1"/>
  <c r="S155" i="8"/>
  <c r="AB155" i="8" s="1"/>
  <c r="W154" i="8"/>
  <c r="S154" i="8"/>
  <c r="AB154" i="8" s="1"/>
  <c r="W153" i="8"/>
  <c r="AF153" i="8" s="1"/>
  <c r="S153" i="8"/>
  <c r="AB153" i="8" s="1"/>
  <c r="W152" i="8"/>
  <c r="S152" i="8"/>
  <c r="AB152" i="8" s="1"/>
  <c r="W151" i="8"/>
  <c r="AF151" i="8" s="1"/>
  <c r="S151" i="8"/>
  <c r="AB151" i="8" s="1"/>
  <c r="W150" i="8"/>
  <c r="S150" i="8"/>
  <c r="AB150" i="8" s="1"/>
  <c r="V157" i="8"/>
  <c r="AE157" i="8" s="1"/>
  <c r="R157" i="8"/>
  <c r="AA157" i="8" s="1"/>
  <c r="V156" i="8"/>
  <c r="R156" i="8"/>
  <c r="AA156" i="8" s="1"/>
  <c r="V155" i="8"/>
  <c r="AE155" i="8" s="1"/>
  <c r="R155" i="8"/>
  <c r="AA155" i="8" s="1"/>
  <c r="V154" i="8"/>
  <c r="R154" i="8"/>
  <c r="AA154" i="8" s="1"/>
  <c r="V153" i="8"/>
  <c r="AE153" i="8" s="1"/>
  <c r="R153" i="8"/>
  <c r="AA153" i="8" s="1"/>
  <c r="V152" i="8"/>
  <c r="R152" i="8"/>
  <c r="AA152" i="8" s="1"/>
  <c r="V151" i="8"/>
  <c r="AE151" i="8" s="1"/>
  <c r="R151" i="8"/>
  <c r="AA151" i="8" s="1"/>
  <c r="V150" i="8"/>
  <c r="R150" i="8"/>
  <c r="AA150" i="8" s="1"/>
  <c r="U157" i="8"/>
  <c r="AD157" i="8" s="1"/>
  <c r="Q157" i="8"/>
  <c r="Z157" i="8" s="1"/>
  <c r="U156" i="8"/>
  <c r="Q156" i="8"/>
  <c r="Z156" i="8" s="1"/>
  <c r="U155" i="8"/>
  <c r="AD155" i="8" s="1"/>
  <c r="Q155" i="8"/>
  <c r="Z155" i="8" s="1"/>
  <c r="U154" i="8"/>
  <c r="AD154" i="8" s="1"/>
  <c r="Q154" i="8"/>
  <c r="Z154" i="8" s="1"/>
  <c r="U153" i="8"/>
  <c r="AD153" i="8" s="1"/>
  <c r="Q153" i="8"/>
  <c r="Z153" i="8" s="1"/>
  <c r="U152" i="8"/>
  <c r="AD152" i="8" s="1"/>
  <c r="Q152" i="8"/>
  <c r="Z152" i="8" s="1"/>
  <c r="U151" i="8"/>
  <c r="AD151" i="8" s="1"/>
  <c r="Q151" i="8"/>
  <c r="Z151" i="8" s="1"/>
  <c r="U150" i="8"/>
  <c r="AD150" i="8" s="1"/>
  <c r="Q150" i="8"/>
  <c r="Z150" i="8" s="1"/>
  <c r="T157" i="8"/>
  <c r="AC157" i="8" s="1"/>
  <c r="P157" i="8"/>
  <c r="Y157" i="8" s="1"/>
  <c r="T156" i="8"/>
  <c r="AC156" i="8" s="1"/>
  <c r="P156" i="8"/>
  <c r="Y156" i="8" s="1"/>
  <c r="T155" i="8"/>
  <c r="AC155" i="8" s="1"/>
  <c r="P155" i="8"/>
  <c r="Y155" i="8" s="1"/>
  <c r="T154" i="8"/>
  <c r="AC154" i="8" s="1"/>
  <c r="P154" i="8"/>
  <c r="Y154" i="8" s="1"/>
  <c r="T153" i="8"/>
  <c r="AC153" i="8" s="1"/>
  <c r="P153" i="8"/>
  <c r="Y153" i="8" s="1"/>
  <c r="T152" i="8"/>
  <c r="AC152" i="8" s="1"/>
  <c r="P152" i="8"/>
  <c r="Y152" i="8" s="1"/>
  <c r="T151" i="8"/>
  <c r="AC151" i="8" s="1"/>
  <c r="P151" i="8"/>
  <c r="Y151" i="8" s="1"/>
  <c r="T150" i="8"/>
  <c r="AC150" i="8" s="1"/>
  <c r="P150" i="8"/>
  <c r="P125" i="8" a="1"/>
  <c r="W117" i="8"/>
  <c r="S115" i="8"/>
  <c r="W112" i="8"/>
  <c r="S111" i="8"/>
  <c r="S110" i="8"/>
  <c r="V117" i="8"/>
  <c r="R117" i="8"/>
  <c r="V116" i="8"/>
  <c r="R116" i="8"/>
  <c r="V115" i="8"/>
  <c r="R115" i="8"/>
  <c r="V114" i="8"/>
  <c r="R114" i="8"/>
  <c r="V113" i="8"/>
  <c r="R113" i="8"/>
  <c r="V112" i="8"/>
  <c r="R112" i="8"/>
  <c r="V111" i="8"/>
  <c r="U117" i="8"/>
  <c r="Q117" i="8"/>
  <c r="U116" i="8"/>
  <c r="Q116" i="8"/>
  <c r="U115" i="8"/>
  <c r="Q115" i="8"/>
  <c r="U114" i="8"/>
  <c r="Q114" i="8"/>
  <c r="U113" i="8"/>
  <c r="Q113" i="8"/>
  <c r="U112" i="8"/>
  <c r="Q112" i="8"/>
  <c r="U111" i="8"/>
  <c r="Q111" i="8"/>
  <c r="U110" i="8"/>
  <c r="Q110" i="8"/>
  <c r="T117" i="8"/>
  <c r="P117" i="8"/>
  <c r="T116" i="8"/>
  <c r="P116" i="8"/>
  <c r="T115" i="8"/>
  <c r="P115" i="8"/>
  <c r="T114" i="8"/>
  <c r="P114" i="8"/>
  <c r="T113" i="8"/>
  <c r="P113" i="8"/>
  <c r="T112" i="8"/>
  <c r="P112" i="8"/>
  <c r="T111" i="8"/>
  <c r="P111" i="8"/>
  <c r="T110" i="8"/>
  <c r="P110" i="8"/>
  <c r="S117" i="8"/>
  <c r="W116" i="8"/>
  <c r="S116" i="8"/>
  <c r="W115" i="8"/>
  <c r="W114" i="8"/>
  <c r="S114" i="8"/>
  <c r="W113" i="8"/>
  <c r="S113" i="8"/>
  <c r="S112" i="8"/>
  <c r="W111" i="8"/>
  <c r="W110" i="8"/>
  <c r="R111" i="8"/>
  <c r="V110" i="8"/>
  <c r="R110" i="8"/>
  <c r="U102" i="8"/>
  <c r="Q102" i="8"/>
  <c r="U101" i="8"/>
  <c r="Q101" i="8"/>
  <c r="U100" i="8"/>
  <c r="Q100" i="8"/>
  <c r="U99" i="8"/>
  <c r="Q99" i="8"/>
  <c r="U98" i="8"/>
  <c r="Q98" i="8"/>
  <c r="U97" i="8"/>
  <c r="Q97" i="8"/>
  <c r="U96" i="8"/>
  <c r="Q96" i="8"/>
  <c r="U95" i="8"/>
  <c r="Q95" i="8"/>
  <c r="T102" i="8"/>
  <c r="P102" i="8"/>
  <c r="T101" i="8"/>
  <c r="P101" i="8"/>
  <c r="T100" i="8"/>
  <c r="P100" i="8"/>
  <c r="T99" i="8"/>
  <c r="P99" i="8"/>
  <c r="T98" i="8"/>
  <c r="P98" i="8"/>
  <c r="T97" i="8"/>
  <c r="P97" i="8"/>
  <c r="T96" i="8"/>
  <c r="P96" i="8"/>
  <c r="T95" i="8"/>
  <c r="P95" i="8"/>
  <c r="W102" i="8"/>
  <c r="V102" i="8"/>
  <c r="V101" i="8"/>
  <c r="V100" i="8"/>
  <c r="V99" i="8"/>
  <c r="V98" i="8"/>
  <c r="V97" i="8"/>
  <c r="V96" i="8"/>
  <c r="V95" i="8"/>
  <c r="W97" i="8"/>
  <c r="S102" i="8"/>
  <c r="S101" i="8"/>
  <c r="S100" i="8"/>
  <c r="S99" i="8"/>
  <c r="S98" i="8"/>
  <c r="S97" i="8"/>
  <c r="S96" i="8"/>
  <c r="S95" i="8"/>
  <c r="R102" i="8"/>
  <c r="R101" i="8"/>
  <c r="R100" i="8"/>
  <c r="R99" i="8"/>
  <c r="R98" i="8"/>
  <c r="R97" i="8"/>
  <c r="R96" i="8"/>
  <c r="R95" i="8"/>
  <c r="W101" i="8"/>
  <c r="W100" i="8"/>
  <c r="W98" i="8"/>
  <c r="W96" i="8"/>
  <c r="W95" i="8"/>
  <c r="W99" i="8"/>
  <c r="P80" i="8" a="1"/>
  <c r="P65" i="8" a="1"/>
  <c r="P50" i="8" a="1"/>
  <c r="P35" i="8" a="1"/>
  <c r="N32" i="8"/>
  <c r="R32" i="8" s="1"/>
  <c r="N30" i="8"/>
  <c r="R30" i="8" s="1"/>
  <c r="O30" i="8"/>
  <c r="S30" i="8" s="1"/>
  <c r="N31" i="8"/>
  <c r="R31" i="8" s="1"/>
  <c r="O31" i="8"/>
  <c r="S31" i="8" s="1"/>
  <c r="P31" i="8"/>
  <c r="T31" i="8" s="1"/>
  <c r="N61" i="8"/>
  <c r="R61" i="8" s="1"/>
  <c r="P105" i="8"/>
  <c r="T105" i="8" s="1"/>
  <c r="O106" i="8"/>
  <c r="S106" i="8" s="1"/>
  <c r="P30" i="8"/>
  <c r="T30" i="8" s="1"/>
  <c r="O32" i="8"/>
  <c r="S32" i="8" s="1"/>
  <c r="V120" i="8"/>
  <c r="W120" i="8" s="1"/>
  <c r="V15" i="8"/>
  <c r="K51" i="7" a="1"/>
  <c r="K51" i="7" s="1"/>
  <c r="L39" i="7"/>
  <c r="M37" i="7"/>
  <c r="M38" i="7"/>
  <c r="L37" i="7"/>
  <c r="K38" i="7"/>
  <c r="K39" i="7"/>
  <c r="M39" i="7"/>
  <c r="L38" i="7"/>
  <c r="D53" i="7"/>
  <c r="H53" i="7"/>
  <c r="E53" i="7"/>
  <c r="I53" i="7"/>
  <c r="G53" i="7"/>
  <c r="K42" i="7" a="1"/>
  <c r="D75" i="6"/>
  <c r="I127" i="6"/>
  <c r="G127" i="6"/>
  <c r="F127" i="6"/>
  <c r="D127" i="6"/>
  <c r="B127" i="6"/>
  <c r="I128" i="6" s="1"/>
  <c r="H126" i="6"/>
  <c r="G126" i="6"/>
  <c r="E126" i="6"/>
  <c r="D126" i="6"/>
  <c r="B126" i="6"/>
  <c r="H128" i="6" s="1"/>
  <c r="I111" i="6"/>
  <c r="G111" i="6"/>
  <c r="F111" i="6"/>
  <c r="D111" i="6"/>
  <c r="B111" i="6"/>
  <c r="I112" i="6" s="1"/>
  <c r="H110" i="6"/>
  <c r="G110" i="6"/>
  <c r="E110" i="6"/>
  <c r="D110" i="6"/>
  <c r="B110" i="6"/>
  <c r="E112" i="6" s="1"/>
  <c r="I97" i="6"/>
  <c r="G97" i="6"/>
  <c r="F97" i="6"/>
  <c r="D97" i="6"/>
  <c r="B97" i="6"/>
  <c r="F98" i="6" s="1"/>
  <c r="H96" i="6"/>
  <c r="G96" i="6"/>
  <c r="E96" i="6"/>
  <c r="D96" i="6"/>
  <c r="B96" i="6"/>
  <c r="H98" i="6" s="1"/>
  <c r="I76" i="6"/>
  <c r="G76" i="6"/>
  <c r="F76" i="6"/>
  <c r="D76" i="6"/>
  <c r="B76" i="6"/>
  <c r="I77" i="6" s="1"/>
  <c r="H75" i="6"/>
  <c r="G75" i="6"/>
  <c r="E75" i="6"/>
  <c r="B75" i="6"/>
  <c r="E77" i="6" s="1"/>
  <c r="I59" i="6"/>
  <c r="G59" i="6"/>
  <c r="F59" i="6"/>
  <c r="D59" i="6"/>
  <c r="B59" i="6"/>
  <c r="H58" i="6"/>
  <c r="G58" i="6"/>
  <c r="E58" i="6"/>
  <c r="B58" i="6"/>
  <c r="H60" i="6" s="1"/>
  <c r="AD156" i="8" l="1"/>
  <c r="AE150" i="8"/>
  <c r="AE152" i="8"/>
  <c r="AE154" i="8"/>
  <c r="AE156" i="8"/>
  <c r="AF150" i="8"/>
  <c r="AF152" i="8"/>
  <c r="AF154" i="8"/>
  <c r="AF156" i="8"/>
  <c r="E128" i="6"/>
  <c r="V90" i="8"/>
  <c r="W90" i="8" s="1"/>
  <c r="V105" i="8"/>
  <c r="W105" i="8" s="1"/>
  <c r="M51" i="7"/>
  <c r="L53" i="7"/>
  <c r="L52" i="7"/>
  <c r="L51" i="7"/>
  <c r="M53" i="7"/>
  <c r="M52" i="7"/>
  <c r="K53" i="7"/>
  <c r="K52" i="7"/>
  <c r="O42" i="5"/>
  <c r="N93" i="5"/>
  <c r="S93" i="5" s="1"/>
  <c r="S98" i="5" s="1"/>
  <c r="R96" i="5"/>
  <c r="N90" i="5"/>
  <c r="S90" i="5" s="1"/>
  <c r="S95" i="5" s="1"/>
  <c r="M93" i="5"/>
  <c r="R93" i="5" s="1"/>
  <c r="R98" i="5" s="1"/>
  <c r="M92" i="5"/>
  <c r="R92" i="5" s="1"/>
  <c r="R97" i="5" s="1"/>
  <c r="L91" i="5"/>
  <c r="Q91" i="5" s="1"/>
  <c r="Q96" i="5" s="1"/>
  <c r="P97" i="5"/>
  <c r="L93" i="5"/>
  <c r="Q93" i="5" s="1"/>
  <c r="Q98" i="5" s="1"/>
  <c r="L92" i="5"/>
  <c r="Q92" i="5" s="1"/>
  <c r="K91" i="5"/>
  <c r="P91" i="5" s="1"/>
  <c r="P96" i="5" s="1"/>
  <c r="L90" i="5"/>
  <c r="Q90" i="5" s="1"/>
  <c r="Q95" i="5" s="1"/>
  <c r="S96" i="5"/>
  <c r="Q97" i="5"/>
  <c r="P47" i="5"/>
  <c r="V60" i="8"/>
  <c r="W60" i="8" s="1"/>
  <c r="K32" i="7"/>
  <c r="K29" i="7"/>
  <c r="K22" i="7" a="1"/>
  <c r="K23" i="7" s="1"/>
  <c r="K31" i="7"/>
  <c r="K30" i="7"/>
  <c r="K28" i="7"/>
  <c r="M27" i="7" s="1" a="1"/>
  <c r="J52" i="9"/>
  <c r="L60" i="9"/>
  <c r="K59" i="9"/>
  <c r="J60" i="9"/>
  <c r="L61" i="9"/>
  <c r="K60" i="9"/>
  <c r="J59" i="9"/>
  <c r="K61" i="9"/>
  <c r="J61" i="9"/>
  <c r="L59" i="9"/>
  <c r="K39" i="9"/>
  <c r="O39" i="9" s="1"/>
  <c r="L30" i="9"/>
  <c r="K29" i="9"/>
  <c r="L31" i="9"/>
  <c r="K30" i="9"/>
  <c r="J29" i="9"/>
  <c r="K31" i="9"/>
  <c r="J30" i="9"/>
  <c r="J31" i="9"/>
  <c r="L29" i="9"/>
  <c r="V45" i="8"/>
  <c r="W45" i="8" s="1"/>
  <c r="V75" i="8"/>
  <c r="W75" i="8" s="1"/>
  <c r="W132" i="8"/>
  <c r="S132" i="8"/>
  <c r="W131" i="8"/>
  <c r="S131" i="8"/>
  <c r="W130" i="8"/>
  <c r="S130" i="8"/>
  <c r="W129" i="8"/>
  <c r="S129" i="8"/>
  <c r="W128" i="8"/>
  <c r="S128" i="8"/>
  <c r="W127" i="8"/>
  <c r="S127" i="8"/>
  <c r="W126" i="8"/>
  <c r="S126" i="8"/>
  <c r="W125" i="8"/>
  <c r="S125" i="8"/>
  <c r="T132" i="8"/>
  <c r="T130" i="8"/>
  <c r="P129" i="8"/>
  <c r="T127" i="8"/>
  <c r="P126" i="8"/>
  <c r="V132" i="8"/>
  <c r="R132" i="8"/>
  <c r="V131" i="8"/>
  <c r="R131" i="8"/>
  <c r="V130" i="8"/>
  <c r="R130" i="8"/>
  <c r="V129" i="8"/>
  <c r="R129" i="8"/>
  <c r="V128" i="8"/>
  <c r="R128" i="8"/>
  <c r="V127" i="8"/>
  <c r="R127" i="8"/>
  <c r="V126" i="8"/>
  <c r="R126" i="8"/>
  <c r="V125" i="8"/>
  <c r="R125" i="8"/>
  <c r="P132" i="8"/>
  <c r="T131" i="8"/>
  <c r="P130" i="8"/>
  <c r="T128" i="8"/>
  <c r="P127" i="8"/>
  <c r="P125" i="8"/>
  <c r="U132" i="8"/>
  <c r="Q132" i="8"/>
  <c r="U131" i="8"/>
  <c r="Q131" i="8"/>
  <c r="U130" i="8"/>
  <c r="Q130" i="8"/>
  <c r="U129" i="8"/>
  <c r="Q129" i="8"/>
  <c r="U128" i="8"/>
  <c r="Q128" i="8"/>
  <c r="U127" i="8"/>
  <c r="Q127" i="8"/>
  <c r="U126" i="8"/>
  <c r="Q126" i="8"/>
  <c r="U125" i="8"/>
  <c r="Q125" i="8"/>
  <c r="P131" i="8"/>
  <c r="T129" i="8"/>
  <c r="P128" i="8"/>
  <c r="T126" i="8"/>
  <c r="T125" i="8"/>
  <c r="W87" i="8"/>
  <c r="S87" i="8"/>
  <c r="W86" i="8"/>
  <c r="S86" i="8"/>
  <c r="W85" i="8"/>
  <c r="S85" i="8"/>
  <c r="W84" i="8"/>
  <c r="S84" i="8"/>
  <c r="W83" i="8"/>
  <c r="S83" i="8"/>
  <c r="W82" i="8"/>
  <c r="S82" i="8"/>
  <c r="W81" i="8"/>
  <c r="S81" i="8"/>
  <c r="W80" i="8"/>
  <c r="S80" i="8"/>
  <c r="P86" i="8"/>
  <c r="P84" i="8"/>
  <c r="P83" i="8"/>
  <c r="T81" i="8"/>
  <c r="P80" i="8"/>
  <c r="V87" i="8"/>
  <c r="R87" i="8"/>
  <c r="V86" i="8"/>
  <c r="R86" i="8"/>
  <c r="V85" i="8"/>
  <c r="R85" i="8"/>
  <c r="V84" i="8"/>
  <c r="R84" i="8"/>
  <c r="V83" i="8"/>
  <c r="R83" i="8"/>
  <c r="V82" i="8"/>
  <c r="R82" i="8"/>
  <c r="V81" i="8"/>
  <c r="R81" i="8"/>
  <c r="V80" i="8"/>
  <c r="R80" i="8"/>
  <c r="T86" i="8"/>
  <c r="P85" i="8"/>
  <c r="T83" i="8"/>
  <c r="P82" i="8"/>
  <c r="T80" i="8"/>
  <c r="U87" i="8"/>
  <c r="Q87" i="8"/>
  <c r="U86" i="8"/>
  <c r="Q86" i="8"/>
  <c r="U85" i="8"/>
  <c r="Q85" i="8"/>
  <c r="U84" i="8"/>
  <c r="Q84" i="8"/>
  <c r="U83" i="8"/>
  <c r="Q83" i="8"/>
  <c r="U82" i="8"/>
  <c r="Q82" i="8"/>
  <c r="U81" i="8"/>
  <c r="Q81" i="8"/>
  <c r="U80" i="8"/>
  <c r="Q80" i="8"/>
  <c r="T87" i="8"/>
  <c r="P87" i="8"/>
  <c r="T85" i="8"/>
  <c r="T84" i="8"/>
  <c r="T82" i="8"/>
  <c r="P81" i="8"/>
  <c r="W72" i="8"/>
  <c r="S72" i="8"/>
  <c r="W71" i="8"/>
  <c r="S71" i="8"/>
  <c r="W70" i="8"/>
  <c r="S70" i="8"/>
  <c r="W69" i="8"/>
  <c r="S69" i="8"/>
  <c r="W68" i="8"/>
  <c r="S68" i="8"/>
  <c r="W67" i="8"/>
  <c r="S67" i="8"/>
  <c r="W66" i="8"/>
  <c r="S66" i="8"/>
  <c r="W65" i="8"/>
  <c r="S65" i="8"/>
  <c r="T71" i="8"/>
  <c r="P70" i="8"/>
  <c r="T68" i="8"/>
  <c r="T67" i="8"/>
  <c r="P66" i="8"/>
  <c r="V72" i="8"/>
  <c r="R72" i="8"/>
  <c r="V71" i="8"/>
  <c r="R71" i="8"/>
  <c r="V70" i="8"/>
  <c r="R70" i="8"/>
  <c r="V69" i="8"/>
  <c r="R69" i="8"/>
  <c r="V68" i="8"/>
  <c r="R68" i="8"/>
  <c r="V67" i="8"/>
  <c r="R67" i="8"/>
  <c r="V66" i="8"/>
  <c r="R66" i="8"/>
  <c r="V65" i="8"/>
  <c r="R65" i="8"/>
  <c r="T72" i="8"/>
  <c r="P71" i="8"/>
  <c r="T69" i="8"/>
  <c r="P68" i="8"/>
  <c r="T66" i="8"/>
  <c r="T65" i="8"/>
  <c r="U72" i="8"/>
  <c r="Q72" i="8"/>
  <c r="U71" i="8"/>
  <c r="Q71" i="8"/>
  <c r="U70" i="8"/>
  <c r="Q70" i="8"/>
  <c r="U69" i="8"/>
  <c r="Q69" i="8"/>
  <c r="U68" i="8"/>
  <c r="Q68" i="8"/>
  <c r="U67" i="8"/>
  <c r="Q67" i="8"/>
  <c r="U66" i="8"/>
  <c r="Q66" i="8"/>
  <c r="U65" i="8"/>
  <c r="Q65" i="8"/>
  <c r="P72" i="8"/>
  <c r="T70" i="8"/>
  <c r="P69" i="8"/>
  <c r="P67" i="8"/>
  <c r="P65" i="8"/>
  <c r="W57" i="8"/>
  <c r="S57" i="8"/>
  <c r="W56" i="8"/>
  <c r="S56" i="8"/>
  <c r="W55" i="8"/>
  <c r="S55" i="8"/>
  <c r="W54" i="8"/>
  <c r="S54" i="8"/>
  <c r="W53" i="8"/>
  <c r="S53" i="8"/>
  <c r="W52" i="8"/>
  <c r="S52" i="8"/>
  <c r="W51" i="8"/>
  <c r="S51" i="8"/>
  <c r="W50" i="8"/>
  <c r="S50" i="8"/>
  <c r="P57" i="8"/>
  <c r="P55" i="8"/>
  <c r="T53" i="8"/>
  <c r="P52" i="8"/>
  <c r="T50" i="8"/>
  <c r="V57" i="8"/>
  <c r="R57" i="8"/>
  <c r="V56" i="8"/>
  <c r="R56" i="8"/>
  <c r="V55" i="8"/>
  <c r="R55" i="8"/>
  <c r="V54" i="8"/>
  <c r="R54" i="8"/>
  <c r="V53" i="8"/>
  <c r="R53" i="8"/>
  <c r="V52" i="8"/>
  <c r="R52" i="8"/>
  <c r="V51" i="8"/>
  <c r="R51" i="8"/>
  <c r="V50" i="8"/>
  <c r="R50" i="8"/>
  <c r="T55" i="8"/>
  <c r="P54" i="8"/>
  <c r="T52" i="8"/>
  <c r="P51" i="8"/>
  <c r="P50" i="8"/>
  <c r="U57" i="8"/>
  <c r="Q57" i="8"/>
  <c r="U56" i="8"/>
  <c r="Q56" i="8"/>
  <c r="U55" i="8"/>
  <c r="Q55" i="8"/>
  <c r="U54" i="8"/>
  <c r="Q54" i="8"/>
  <c r="U53" i="8"/>
  <c r="Q53" i="8"/>
  <c r="U52" i="8"/>
  <c r="Q52" i="8"/>
  <c r="U51" i="8"/>
  <c r="Q51" i="8"/>
  <c r="U50" i="8"/>
  <c r="Q50" i="8"/>
  <c r="T57" i="8"/>
  <c r="T56" i="8"/>
  <c r="P56" i="8"/>
  <c r="T54" i="8"/>
  <c r="P53" i="8"/>
  <c r="T51" i="8"/>
  <c r="W42" i="8"/>
  <c r="S42" i="8"/>
  <c r="W41" i="8"/>
  <c r="S41" i="8"/>
  <c r="W40" i="8"/>
  <c r="S40" i="8"/>
  <c r="W39" i="8"/>
  <c r="S39" i="8"/>
  <c r="W38" i="8"/>
  <c r="S38" i="8"/>
  <c r="W37" i="8"/>
  <c r="S37" i="8"/>
  <c r="W36" i="8"/>
  <c r="S36" i="8"/>
  <c r="W35" i="8"/>
  <c r="S35" i="8"/>
  <c r="U42" i="8"/>
  <c r="U41" i="8"/>
  <c r="U40" i="8"/>
  <c r="Q40" i="8"/>
  <c r="Q39" i="8"/>
  <c r="U38" i="8"/>
  <c r="U37" i="8"/>
  <c r="Q37" i="8"/>
  <c r="Q36" i="8"/>
  <c r="Q35" i="8"/>
  <c r="T42" i="8"/>
  <c r="P42" i="8"/>
  <c r="T41" i="8"/>
  <c r="P41" i="8"/>
  <c r="T40" i="8"/>
  <c r="P40" i="8"/>
  <c r="T39" i="8"/>
  <c r="P39" i="8"/>
  <c r="T38" i="8"/>
  <c r="P38" i="8"/>
  <c r="T37" i="8"/>
  <c r="P37" i="8"/>
  <c r="T36" i="8"/>
  <c r="P36" i="8"/>
  <c r="T35" i="8"/>
  <c r="P35" i="8"/>
  <c r="V42" i="8"/>
  <c r="R42" i="8"/>
  <c r="V41" i="8"/>
  <c r="R41" i="8"/>
  <c r="V40" i="8"/>
  <c r="R40" i="8"/>
  <c r="V39" i="8"/>
  <c r="R39" i="8"/>
  <c r="V38" i="8"/>
  <c r="R38" i="8"/>
  <c r="V37" i="8"/>
  <c r="R37" i="8"/>
  <c r="V36" i="8"/>
  <c r="R36" i="8"/>
  <c r="V35" i="8"/>
  <c r="R35" i="8"/>
  <c r="Q42" i="8"/>
  <c r="Q41" i="8"/>
  <c r="U39" i="8"/>
  <c r="Q38" i="8"/>
  <c r="U36" i="8"/>
  <c r="U35" i="8"/>
  <c r="W15" i="8"/>
  <c r="V30" i="8"/>
  <c r="W30" i="8" s="1"/>
  <c r="K56" i="7" a="1"/>
  <c r="O37" i="7"/>
  <c r="Q37" i="7" s="1"/>
  <c r="K44" i="7"/>
  <c r="K47" i="7"/>
  <c r="K43" i="7"/>
  <c r="K46" i="7"/>
  <c r="K42" i="7"/>
  <c r="K45" i="7"/>
  <c r="I98" i="6"/>
  <c r="E98" i="6"/>
  <c r="F128" i="6"/>
  <c r="F77" i="6"/>
  <c r="F112" i="6"/>
  <c r="G60" i="6"/>
  <c r="E60" i="6"/>
  <c r="G128" i="6"/>
  <c r="D128" i="6"/>
  <c r="G112" i="6"/>
  <c r="G98" i="6"/>
  <c r="D112" i="6"/>
  <c r="H112" i="6"/>
  <c r="D98" i="6"/>
  <c r="G77" i="6"/>
  <c r="D77" i="6"/>
  <c r="H77" i="6"/>
  <c r="I60" i="6"/>
  <c r="F60" i="6"/>
  <c r="D60" i="6"/>
  <c r="P9" i="4"/>
  <c r="K96" i="6" l="1" a="1"/>
  <c r="K58" i="6" a="1"/>
  <c r="K75" i="6" a="1"/>
  <c r="M77" i="6" s="1"/>
  <c r="K126" i="6" a="1"/>
  <c r="K126" i="6" s="1"/>
  <c r="K58" i="6"/>
  <c r="L58" i="6"/>
  <c r="L59" i="6"/>
  <c r="M59" i="6"/>
  <c r="L60" i="6"/>
  <c r="K59" i="6"/>
  <c r="M58" i="6"/>
  <c r="K60" i="6"/>
  <c r="M60" i="6"/>
  <c r="K110" i="6" a="1"/>
  <c r="K111" i="6" s="1"/>
  <c r="W13" i="8"/>
  <c r="O51" i="7"/>
  <c r="Q51" i="7" s="1"/>
  <c r="P100" i="5"/>
  <c r="M27" i="7"/>
  <c r="P31" i="7"/>
  <c r="O31" i="7"/>
  <c r="P32" i="7"/>
  <c r="R29" i="7"/>
  <c r="N27" i="7"/>
  <c r="N30" i="7"/>
  <c r="Q30" i="7"/>
  <c r="Q31" i="7"/>
  <c r="M29" i="7"/>
  <c r="P29" i="7"/>
  <c r="M30" i="7"/>
  <c r="R31" i="7"/>
  <c r="N29" i="7"/>
  <c r="R32" i="7"/>
  <c r="R28" i="7"/>
  <c r="O29" i="7"/>
  <c r="M31" i="7"/>
  <c r="O28" i="7"/>
  <c r="N28" i="7"/>
  <c r="Q28" i="7"/>
  <c r="N31" i="7"/>
  <c r="P28" i="7"/>
  <c r="N32" i="7"/>
  <c r="P27" i="7"/>
  <c r="O27" i="7"/>
  <c r="O30" i="7"/>
  <c r="Q27" i="7"/>
  <c r="Q32" i="7"/>
  <c r="M28" i="7"/>
  <c r="P30" i="7"/>
  <c r="R27" i="7"/>
  <c r="R30" i="7"/>
  <c r="M32" i="7"/>
  <c r="O32" i="7"/>
  <c r="Q29" i="7"/>
  <c r="AF95" i="8"/>
  <c r="Y20" i="8"/>
  <c r="M24" i="7"/>
  <c r="K24" i="7"/>
  <c r="K22" i="7"/>
  <c r="M23" i="7"/>
  <c r="L24" i="7"/>
  <c r="L23" i="7"/>
  <c r="M22" i="7"/>
  <c r="L22" i="7"/>
  <c r="AD39" i="8"/>
  <c r="AE39" i="8"/>
  <c r="AE41" i="8"/>
  <c r="AC37" i="8"/>
  <c r="AC41" i="8"/>
  <c r="Z39" i="8"/>
  <c r="AF36" i="8"/>
  <c r="AF40" i="8"/>
  <c r="Y56" i="8"/>
  <c r="AD52" i="8"/>
  <c r="AD56" i="8"/>
  <c r="Y51" i="8"/>
  <c r="AA52" i="8"/>
  <c r="AA56" i="8"/>
  <c r="Y57" i="8"/>
  <c r="AF53" i="8"/>
  <c r="AF57" i="8"/>
  <c r="Z66" i="8"/>
  <c r="Z70" i="8"/>
  <c r="Y68" i="8"/>
  <c r="AA67" i="8"/>
  <c r="AA71" i="8"/>
  <c r="AC71" i="8"/>
  <c r="AF68" i="8"/>
  <c r="AF72" i="8"/>
  <c r="AD80" i="8"/>
  <c r="AD84" i="8"/>
  <c r="Y82" i="8"/>
  <c r="AA80" i="8"/>
  <c r="AA84" i="8"/>
  <c r="Y80" i="8"/>
  <c r="AF81" i="8"/>
  <c r="AF85" i="8"/>
  <c r="AC129" i="8"/>
  <c r="Z128" i="8"/>
  <c r="Z132" i="8"/>
  <c r="AA125" i="8"/>
  <c r="AA127" i="8"/>
  <c r="AA131" i="8"/>
  <c r="AC132" i="8"/>
  <c r="AF128" i="8"/>
  <c r="AF132" i="8"/>
  <c r="AF100" i="8"/>
  <c r="AD35" i="8"/>
  <c r="AA36" i="8"/>
  <c r="AA40" i="8"/>
  <c r="Y36" i="8"/>
  <c r="Y40" i="8"/>
  <c r="Z37" i="8"/>
  <c r="AB35" i="8"/>
  <c r="AB39" i="8"/>
  <c r="AC51" i="8"/>
  <c r="Z51" i="8"/>
  <c r="Z55" i="8"/>
  <c r="AC52" i="8"/>
  <c r="AE50" i="8"/>
  <c r="AE54" i="8"/>
  <c r="Y52" i="8"/>
  <c r="AB52" i="8"/>
  <c r="AB56" i="8"/>
  <c r="Y72" i="8"/>
  <c r="AD68" i="8"/>
  <c r="AD72" i="8"/>
  <c r="AE65" i="8"/>
  <c r="AE69" i="8"/>
  <c r="AC67" i="8"/>
  <c r="AB65" i="8"/>
  <c r="AB69" i="8"/>
  <c r="Y81" i="8"/>
  <c r="Z81" i="8"/>
  <c r="AE110" i="8"/>
  <c r="AB112" i="8"/>
  <c r="AF110" i="8"/>
  <c r="AF101" i="8"/>
  <c r="AA111" i="8"/>
  <c r="Y125" i="8"/>
  <c r="AA27" i="8"/>
  <c r="AE27" i="8"/>
  <c r="AB26" i="8"/>
  <c r="AF26" i="8"/>
  <c r="AC25" i="8"/>
  <c r="Z24" i="8"/>
  <c r="AD24" i="8"/>
  <c r="AA23" i="8"/>
  <c r="AE23" i="8"/>
  <c r="AB22" i="8"/>
  <c r="AF22" i="8"/>
  <c r="AC21" i="8"/>
  <c r="Z20" i="8"/>
  <c r="AD20" i="8"/>
  <c r="Y22" i="8"/>
  <c r="Y26" i="8"/>
  <c r="AC27" i="8"/>
  <c r="Z26" i="8"/>
  <c r="AA25" i="8"/>
  <c r="AE25" i="8"/>
  <c r="AF24" i="8"/>
  <c r="Z22" i="8"/>
  <c r="AA21" i="8"/>
  <c r="AB20" i="8"/>
  <c r="Y24" i="8"/>
  <c r="AD27" i="8"/>
  <c r="AE26" i="8"/>
  <c r="AF25" i="8"/>
  <c r="Z23" i="8"/>
  <c r="AA22" i="8"/>
  <c r="AB21" i="8"/>
  <c r="AC20" i="8"/>
  <c r="Y25" i="8"/>
  <c r="Y95" i="8"/>
  <c r="AB27" i="8"/>
  <c r="AF27" i="8"/>
  <c r="AC26" i="8"/>
  <c r="Z25" i="8"/>
  <c r="AD25" i="8"/>
  <c r="AA24" i="8"/>
  <c r="AE24" i="8"/>
  <c r="AB23" i="8"/>
  <c r="AF23" i="8"/>
  <c r="AC22" i="8"/>
  <c r="Z21" i="8"/>
  <c r="AD21" i="8"/>
  <c r="AA20" i="8"/>
  <c r="AE20" i="8"/>
  <c r="Y23" i="8"/>
  <c r="Y27" i="8"/>
  <c r="AD26" i="8"/>
  <c r="AB24" i="8"/>
  <c r="AC23" i="8"/>
  <c r="AD22" i="8"/>
  <c r="AE21" i="8"/>
  <c r="AF20" i="8"/>
  <c r="Z27" i="8"/>
  <c r="AA26" i="8"/>
  <c r="AB25" i="8"/>
  <c r="AC24" i="8"/>
  <c r="AD23" i="8"/>
  <c r="AE22" i="8"/>
  <c r="AF21" i="8"/>
  <c r="Y21" i="8"/>
  <c r="AF99" i="8"/>
  <c r="Y99" i="8"/>
  <c r="AB114" i="8"/>
  <c r="Z115" i="8"/>
  <c r="AA98" i="8"/>
  <c r="AC99" i="8"/>
  <c r="AB117" i="8"/>
  <c r="AD117" i="8"/>
  <c r="AA95" i="8"/>
  <c r="AF97" i="8"/>
  <c r="Y98" i="8"/>
  <c r="Z98" i="8"/>
  <c r="AB113" i="8"/>
  <c r="Y114" i="8"/>
  <c r="Z114" i="8"/>
  <c r="AE115" i="8"/>
  <c r="AA101" i="8"/>
  <c r="Y101" i="8"/>
  <c r="AF116" i="8"/>
  <c r="Z117" i="8"/>
  <c r="AA102" i="8"/>
  <c r="AC101" i="8"/>
  <c r="AF114" i="8"/>
  <c r="AD115" i="8"/>
  <c r="AA96" i="8"/>
  <c r="AE95" i="8"/>
  <c r="AC98" i="8"/>
  <c r="AD98" i="8"/>
  <c r="AF113" i="8"/>
  <c r="AC114" i="8"/>
  <c r="AD114" i="8"/>
  <c r="AA116" i="8"/>
  <c r="AA97" i="8"/>
  <c r="Z95" i="8"/>
  <c r="Y111" i="8"/>
  <c r="AE112" i="8"/>
  <c r="AB98" i="8"/>
  <c r="AD95" i="8"/>
  <c r="AC113" i="8"/>
  <c r="AA115" i="8"/>
  <c r="AA99" i="8"/>
  <c r="AE98" i="8"/>
  <c r="Y100" i="8"/>
  <c r="Z100" i="8"/>
  <c r="AF115" i="8"/>
  <c r="Y116" i="8"/>
  <c r="Z116" i="8"/>
  <c r="AE117" i="8"/>
  <c r="AB101" i="8"/>
  <c r="Z97" i="8"/>
  <c r="Y113" i="8"/>
  <c r="AE114" i="8"/>
  <c r="AB102" i="8"/>
  <c r="AD97" i="8"/>
  <c r="AC111" i="8"/>
  <c r="AA113" i="8"/>
  <c r="AA100" i="8"/>
  <c r="AE99" i="8"/>
  <c r="AC100" i="8"/>
  <c r="AD100" i="8"/>
  <c r="AB116" i="8"/>
  <c r="AC116" i="8"/>
  <c r="AD116" i="8"/>
  <c r="AB110" i="8"/>
  <c r="AB97" i="8"/>
  <c r="Y115" i="8"/>
  <c r="AE97" i="8"/>
  <c r="AC117" i="8"/>
  <c r="AB95" i="8"/>
  <c r="Y102" i="8"/>
  <c r="Y110" i="8"/>
  <c r="AE111" i="8"/>
  <c r="AE100" i="8"/>
  <c r="Y117" i="8"/>
  <c r="AE101" i="8"/>
  <c r="AC115" i="8"/>
  <c r="AB96" i="8"/>
  <c r="AC102" i="8"/>
  <c r="AC110" i="8"/>
  <c r="AA112" i="8"/>
  <c r="AE96" i="8"/>
  <c r="Z111" i="8"/>
  <c r="AC95" i="8"/>
  <c r="AD113" i="8"/>
  <c r="AB99" i="8"/>
  <c r="Z96" i="8"/>
  <c r="Y112" i="8"/>
  <c r="AE113" i="8"/>
  <c r="Y97" i="8"/>
  <c r="Z113" i="8"/>
  <c r="AC97" i="8"/>
  <c r="AD111" i="8"/>
  <c r="AB100" i="8"/>
  <c r="AD96" i="8"/>
  <c r="AC112" i="8"/>
  <c r="AA114" i="8"/>
  <c r="Z99" i="8"/>
  <c r="AE116" i="8"/>
  <c r="AD101" i="8"/>
  <c r="AF112" i="8"/>
  <c r="AE102" i="8"/>
  <c r="Z102" i="8"/>
  <c r="Z110" i="8"/>
  <c r="AB115" i="8"/>
  <c r="Z101" i="8"/>
  <c r="AB111" i="8"/>
  <c r="AD99" i="8"/>
  <c r="AA117" i="8"/>
  <c r="AF102" i="8"/>
  <c r="AD102" i="8"/>
  <c r="AD110" i="8"/>
  <c r="AF117" i="8"/>
  <c r="AE37" i="8"/>
  <c r="AC35" i="8"/>
  <c r="AC39" i="8"/>
  <c r="Z36" i="8"/>
  <c r="AD42" i="8"/>
  <c r="AF38" i="8"/>
  <c r="AF42" i="8"/>
  <c r="AD50" i="8"/>
  <c r="AD54" i="8"/>
  <c r="AA50" i="8"/>
  <c r="AA54" i="8"/>
  <c r="AC50" i="8"/>
  <c r="AF51" i="8"/>
  <c r="AF55" i="8"/>
  <c r="AC70" i="8"/>
  <c r="Z68" i="8"/>
  <c r="Z72" i="8"/>
  <c r="AA65" i="8"/>
  <c r="AA69" i="8"/>
  <c r="Y66" i="8"/>
  <c r="AF66" i="8"/>
  <c r="AF70" i="8"/>
  <c r="AC85" i="8"/>
  <c r="AD82" i="8"/>
  <c r="AD86" i="8"/>
  <c r="AA82" i="8"/>
  <c r="AA86" i="8"/>
  <c r="Y86" i="8"/>
  <c r="AF83" i="8"/>
  <c r="AF87" i="8"/>
  <c r="Z126" i="8"/>
  <c r="Z130" i="8"/>
  <c r="AC128" i="8"/>
  <c r="AA129" i="8"/>
  <c r="Y126" i="8"/>
  <c r="AF126" i="8"/>
  <c r="AF130" i="8"/>
  <c r="AF98" i="8"/>
  <c r="AF96" i="8"/>
  <c r="Z41" i="8"/>
  <c r="AA38" i="8"/>
  <c r="AA42" i="8"/>
  <c r="Y38" i="8"/>
  <c r="Y42" i="8"/>
  <c r="Z40" i="8"/>
  <c r="AB37" i="8"/>
  <c r="AB41" i="8"/>
  <c r="AC56" i="8"/>
  <c r="Z53" i="8"/>
  <c r="Z57" i="8"/>
  <c r="AE52" i="8"/>
  <c r="AE56" i="8"/>
  <c r="AB50" i="8"/>
  <c r="AB54" i="8"/>
  <c r="Y65" i="8"/>
  <c r="AD66" i="8"/>
  <c r="AD70" i="8"/>
  <c r="AC69" i="8"/>
  <c r="AE67" i="8"/>
  <c r="AE71" i="8"/>
  <c r="AB67" i="8"/>
  <c r="AB71" i="8"/>
  <c r="Y87" i="8"/>
  <c r="Z83" i="8"/>
  <c r="AD112" i="8"/>
  <c r="Z112" i="8"/>
  <c r="AC96" i="8"/>
  <c r="AF111" i="8"/>
  <c r="Y96" i="8"/>
  <c r="AA110" i="8"/>
  <c r="Z85" i="8"/>
  <c r="Z87" i="8"/>
  <c r="AC83" i="8"/>
  <c r="AE82" i="8"/>
  <c r="AE84" i="8"/>
  <c r="AE86" i="8"/>
  <c r="AC81" i="8"/>
  <c r="AB80" i="8"/>
  <c r="AB82" i="8"/>
  <c r="AB84" i="8"/>
  <c r="AB86" i="8"/>
  <c r="AC125" i="8"/>
  <c r="Y131" i="8"/>
  <c r="AD126" i="8"/>
  <c r="AD128" i="8"/>
  <c r="AD130" i="8"/>
  <c r="AD132" i="8"/>
  <c r="Y130" i="8"/>
  <c r="AE125" i="8"/>
  <c r="AE127" i="8"/>
  <c r="AE129" i="8"/>
  <c r="AE131" i="8"/>
  <c r="AC127" i="8"/>
  <c r="AB125" i="8"/>
  <c r="AB127" i="8"/>
  <c r="AB129" i="8"/>
  <c r="AB131" i="8"/>
  <c r="AD36" i="8"/>
  <c r="Z42" i="8"/>
  <c r="AE36" i="8"/>
  <c r="AE38" i="8"/>
  <c r="AE40" i="8"/>
  <c r="AE42" i="8"/>
  <c r="AC36" i="8"/>
  <c r="AC38" i="8"/>
  <c r="AC40" i="8"/>
  <c r="AC42" i="8"/>
  <c r="AD37" i="8"/>
  <c r="AD40" i="8"/>
  <c r="AF35" i="8"/>
  <c r="AF37" i="8"/>
  <c r="AF39" i="8"/>
  <c r="AF41" i="8"/>
  <c r="Y53" i="8"/>
  <c r="AC57" i="8"/>
  <c r="AD51" i="8"/>
  <c r="AD53" i="8"/>
  <c r="AD55" i="8"/>
  <c r="AD57" i="8"/>
  <c r="Y54" i="8"/>
  <c r="AA51" i="8"/>
  <c r="AA53" i="8"/>
  <c r="AA55" i="8"/>
  <c r="AE80" i="8"/>
  <c r="Z38" i="8"/>
  <c r="AA35" i="8"/>
  <c r="AA37" i="8"/>
  <c r="AA39" i="8"/>
  <c r="AA41" i="8"/>
  <c r="Y35" i="8"/>
  <c r="Y37" i="8"/>
  <c r="Y39" i="8"/>
  <c r="Y41" i="8"/>
  <c r="Z35" i="8"/>
  <c r="AD38" i="8"/>
  <c r="AD41" i="8"/>
  <c r="AB36" i="8"/>
  <c r="AB38" i="8"/>
  <c r="AB40" i="8"/>
  <c r="AB42" i="8"/>
  <c r="AC54" i="8"/>
  <c r="Z50" i="8"/>
  <c r="Z52" i="8"/>
  <c r="Z54" i="8"/>
  <c r="Z56" i="8"/>
  <c r="Y50" i="8"/>
  <c r="AC55" i="8"/>
  <c r="AE51" i="8"/>
  <c r="AE53" i="8"/>
  <c r="AE55" i="8"/>
  <c r="AE57" i="8"/>
  <c r="AA57" i="8"/>
  <c r="AC53" i="8"/>
  <c r="AF50" i="8"/>
  <c r="AF52" i="8"/>
  <c r="AF54" i="8"/>
  <c r="AF56" i="8"/>
  <c r="Y67" i="8"/>
  <c r="Z65" i="8"/>
  <c r="Z67" i="8"/>
  <c r="Z69" i="8"/>
  <c r="Z71" i="8"/>
  <c r="AC65" i="8"/>
  <c r="Y71" i="8"/>
  <c r="AA66" i="8"/>
  <c r="AA68" i="8"/>
  <c r="AA70" i="8"/>
  <c r="AA72" i="8"/>
  <c r="AC68" i="8"/>
  <c r="AF65" i="8"/>
  <c r="AF67" i="8"/>
  <c r="AF69" i="8"/>
  <c r="AF71" i="8"/>
  <c r="AC82" i="8"/>
  <c r="AC87" i="8"/>
  <c r="AD81" i="8"/>
  <c r="AD83" i="8"/>
  <c r="AD85" i="8"/>
  <c r="AD87" i="8"/>
  <c r="Y85" i="8"/>
  <c r="AA81" i="8"/>
  <c r="AA83" i="8"/>
  <c r="AA85" i="8"/>
  <c r="AA87" i="8"/>
  <c r="Y83" i="8"/>
  <c r="AF80" i="8"/>
  <c r="AF82" i="8"/>
  <c r="AF84" i="8"/>
  <c r="AF86" i="8"/>
  <c r="AC126" i="8"/>
  <c r="Z125" i="8"/>
  <c r="Z127" i="8"/>
  <c r="Z129" i="8"/>
  <c r="Z131" i="8"/>
  <c r="AC131" i="8"/>
  <c r="AA126" i="8"/>
  <c r="AA128" i="8"/>
  <c r="AA130" i="8"/>
  <c r="AA132" i="8"/>
  <c r="Y129" i="8"/>
  <c r="AF125" i="8"/>
  <c r="AF127" i="8"/>
  <c r="AF129" i="8"/>
  <c r="AF131" i="8"/>
  <c r="Y55" i="8"/>
  <c r="AB51" i="8"/>
  <c r="AB53" i="8"/>
  <c r="AB55" i="8"/>
  <c r="AB57" i="8"/>
  <c r="Y69" i="8"/>
  <c r="AD65" i="8"/>
  <c r="AD67" i="8"/>
  <c r="AD69" i="8"/>
  <c r="AD71" i="8"/>
  <c r="AC66" i="8"/>
  <c r="AC72" i="8"/>
  <c r="AE66" i="8"/>
  <c r="AE68" i="8"/>
  <c r="AE70" i="8"/>
  <c r="AE72" i="8"/>
  <c r="Y70" i="8"/>
  <c r="AB66" i="8"/>
  <c r="AB68" i="8"/>
  <c r="AB70" i="8"/>
  <c r="AB72" i="8"/>
  <c r="AC84" i="8"/>
  <c r="Z80" i="8"/>
  <c r="Z82" i="8"/>
  <c r="Z84" i="8"/>
  <c r="Z86" i="8"/>
  <c r="AC80" i="8"/>
  <c r="AC86" i="8"/>
  <c r="AE81" i="8"/>
  <c r="AE83" i="8"/>
  <c r="AE85" i="8"/>
  <c r="AE87" i="8"/>
  <c r="Y84" i="8"/>
  <c r="AB81" i="8"/>
  <c r="AB83" i="8"/>
  <c r="AB85" i="8"/>
  <c r="AB87" i="8"/>
  <c r="Y128" i="8"/>
  <c r="AD125" i="8"/>
  <c r="AD127" i="8"/>
  <c r="AD129" i="8"/>
  <c r="AD131" i="8"/>
  <c r="Y127" i="8"/>
  <c r="Y132" i="8"/>
  <c r="AE126" i="8"/>
  <c r="AE128" i="8"/>
  <c r="AE130" i="8"/>
  <c r="AE132" i="8"/>
  <c r="AC130" i="8"/>
  <c r="AB126" i="8"/>
  <c r="AB128" i="8"/>
  <c r="AB130" i="8"/>
  <c r="AB132" i="8"/>
  <c r="AE35" i="8"/>
  <c r="K58" i="7"/>
  <c r="K61" i="7"/>
  <c r="K57" i="7"/>
  <c r="K60" i="7"/>
  <c r="K56" i="7"/>
  <c r="K59" i="7"/>
  <c r="M42" i="7" a="1"/>
  <c r="M110" i="6"/>
  <c r="K112" i="6"/>
  <c r="L110" i="6"/>
  <c r="L111" i="6"/>
  <c r="L126" i="6"/>
  <c r="M126" i="6"/>
  <c r="K96" i="6"/>
  <c r="M96" i="6"/>
  <c r="K98" i="6"/>
  <c r="M97" i="6"/>
  <c r="M98" i="6"/>
  <c r="L98" i="6"/>
  <c r="L96" i="6"/>
  <c r="L97" i="6"/>
  <c r="K97" i="6"/>
  <c r="K75" i="6"/>
  <c r="L77" i="6"/>
  <c r="M75" i="6"/>
  <c r="L75" i="6"/>
  <c r="L76" i="6"/>
  <c r="I27" i="6"/>
  <c r="G27" i="6"/>
  <c r="F27" i="6"/>
  <c r="D27" i="6"/>
  <c r="B27" i="6"/>
  <c r="H26" i="6"/>
  <c r="G26" i="6"/>
  <c r="E26" i="6"/>
  <c r="B26" i="6"/>
  <c r="H28" i="6" s="1"/>
  <c r="K77" i="6" l="1"/>
  <c r="K76" i="6"/>
  <c r="L128" i="6"/>
  <c r="M127" i="6"/>
  <c r="L127" i="6"/>
  <c r="K128" i="6"/>
  <c r="M76" i="6"/>
  <c r="K127" i="6"/>
  <c r="S126" i="6" s="1" a="1"/>
  <c r="S126" i="6" s="1"/>
  <c r="U126" i="6" s="1"/>
  <c r="M128" i="6"/>
  <c r="M112" i="6"/>
  <c r="K110" i="6"/>
  <c r="L112" i="6"/>
  <c r="S110" i="6" s="1" a="1"/>
  <c r="M111" i="6"/>
  <c r="U96" i="6"/>
  <c r="AE136" i="8"/>
  <c r="AA136" i="8"/>
  <c r="AF135" i="8"/>
  <c r="AE135" i="8"/>
  <c r="AF140" i="8"/>
  <c r="AB135" i="8"/>
  <c r="AA138" i="8"/>
  <c r="O22" i="7"/>
  <c r="AF136" i="8"/>
  <c r="AB140" i="8"/>
  <c r="AB139" i="8"/>
  <c r="AA139" i="8"/>
  <c r="AE140" i="8"/>
  <c r="AC136" i="8"/>
  <c r="AF141" i="8"/>
  <c r="AF138" i="8"/>
  <c r="AB142" i="8"/>
  <c r="AE141" i="8"/>
  <c r="AA140" i="8"/>
  <c r="AF137" i="8"/>
  <c r="AB141" i="8"/>
  <c r="AD138" i="8"/>
  <c r="Z142" i="8"/>
  <c r="AD137" i="8"/>
  <c r="Y142" i="8"/>
  <c r="AD136" i="8"/>
  <c r="AB138" i="8"/>
  <c r="Z140" i="8"/>
  <c r="AA137" i="8"/>
  <c r="AD142" i="8"/>
  <c r="Z137" i="8"/>
  <c r="Z141" i="8"/>
  <c r="AD135" i="8"/>
  <c r="AB137" i="8"/>
  <c r="Z139" i="8"/>
  <c r="AE142" i="8"/>
  <c r="AC137" i="8"/>
  <c r="AF142" i="8"/>
  <c r="AC135" i="8"/>
  <c r="Y141" i="8"/>
  <c r="AE137" i="8"/>
  <c r="AA141" i="8"/>
  <c r="AD141" i="8"/>
  <c r="AA135" i="8"/>
  <c r="AD140" i="8"/>
  <c r="AB136" i="8"/>
  <c r="Y137" i="8"/>
  <c r="AD139" i="8"/>
  <c r="Y136" i="8"/>
  <c r="AC139" i="8"/>
  <c r="Y135" i="8"/>
  <c r="AC138" i="8"/>
  <c r="Y138" i="8"/>
  <c r="Z136" i="8"/>
  <c r="AE139" i="8"/>
  <c r="AC141" i="8"/>
  <c r="Y140" i="8"/>
  <c r="Z138" i="8"/>
  <c r="Y139" i="8"/>
  <c r="AF139" i="8"/>
  <c r="AC142" i="8"/>
  <c r="Z135" i="8"/>
  <c r="AE138" i="8"/>
  <c r="AC140" i="8"/>
  <c r="AA142" i="8"/>
  <c r="M56" i="7" a="1"/>
  <c r="R47" i="7"/>
  <c r="Y47" i="7" s="1"/>
  <c r="N47" i="7"/>
  <c r="U47" i="7" s="1"/>
  <c r="P46" i="7"/>
  <c r="W46" i="7" s="1"/>
  <c r="R45" i="7"/>
  <c r="Y45" i="7" s="1"/>
  <c r="N45" i="7"/>
  <c r="U45" i="7" s="1"/>
  <c r="P44" i="7"/>
  <c r="W44" i="7" s="1"/>
  <c r="R43" i="7"/>
  <c r="Y43" i="7" s="1"/>
  <c r="N43" i="7"/>
  <c r="U43" i="7" s="1"/>
  <c r="P42" i="7"/>
  <c r="W42" i="7" s="1"/>
  <c r="O47" i="7"/>
  <c r="V47" i="7" s="1"/>
  <c r="O43" i="7"/>
  <c r="V43" i="7" s="1"/>
  <c r="M42" i="7"/>
  <c r="T42" i="7" s="1"/>
  <c r="Q47" i="7"/>
  <c r="X47" i="7" s="1"/>
  <c r="M47" i="7"/>
  <c r="T47" i="7" s="1"/>
  <c r="O46" i="7"/>
  <c r="V46" i="7" s="1"/>
  <c r="Q45" i="7"/>
  <c r="X45" i="7" s="1"/>
  <c r="M45" i="7"/>
  <c r="T45" i="7" s="1"/>
  <c r="O44" i="7"/>
  <c r="V44" i="7" s="1"/>
  <c r="Q43" i="7"/>
  <c r="X43" i="7" s="1"/>
  <c r="M43" i="7"/>
  <c r="T43" i="7" s="1"/>
  <c r="O42" i="7"/>
  <c r="V42" i="7" s="1"/>
  <c r="P47" i="7"/>
  <c r="W47" i="7" s="1"/>
  <c r="R46" i="7"/>
  <c r="Y46" i="7" s="1"/>
  <c r="N46" i="7"/>
  <c r="U46" i="7" s="1"/>
  <c r="P45" i="7"/>
  <c r="W45" i="7" s="1"/>
  <c r="R44" i="7"/>
  <c r="Y44" i="7" s="1"/>
  <c r="N44" i="7"/>
  <c r="U44" i="7" s="1"/>
  <c r="P43" i="7"/>
  <c r="W43" i="7" s="1"/>
  <c r="R42" i="7"/>
  <c r="Y42" i="7" s="1"/>
  <c r="N42" i="7"/>
  <c r="U42" i="7" s="1"/>
  <c r="Q46" i="7"/>
  <c r="X46" i="7" s="1"/>
  <c r="M46" i="7"/>
  <c r="T46" i="7" s="1"/>
  <c r="O45" i="7"/>
  <c r="V45" i="7" s="1"/>
  <c r="Q44" i="7"/>
  <c r="X44" i="7" s="1"/>
  <c r="M44" i="7"/>
  <c r="T44" i="7" s="1"/>
  <c r="Q42" i="7"/>
  <c r="X42" i="7" s="1"/>
  <c r="S58" i="6"/>
  <c r="D28" i="6"/>
  <c r="E28" i="6"/>
  <c r="I28" i="6"/>
  <c r="F28" i="6"/>
  <c r="G28" i="6"/>
  <c r="F3" i="3"/>
  <c r="O126" i="6" l="1" a="1"/>
  <c r="P127" i="6" s="1"/>
  <c r="K26" i="6" a="1"/>
  <c r="M27" i="6" s="1"/>
  <c r="S110" i="6"/>
  <c r="U110" i="6" s="1"/>
  <c r="K26" i="6"/>
  <c r="M28" i="6"/>
  <c r="K28" i="6"/>
  <c r="L26" i="6"/>
  <c r="K27" i="6"/>
  <c r="L28" i="6"/>
  <c r="M26" i="6"/>
  <c r="O127" i="6"/>
  <c r="P128" i="6"/>
  <c r="Q128" i="6"/>
  <c r="P126" i="6"/>
  <c r="O128" i="6"/>
  <c r="O126" i="6"/>
  <c r="Q127" i="6"/>
  <c r="Q126" i="6"/>
  <c r="Q22" i="7"/>
  <c r="X30" i="7" s="1"/>
  <c r="Y30" i="7"/>
  <c r="R61" i="7"/>
  <c r="Y61" i="7" s="1"/>
  <c r="Y69" i="7" s="1"/>
  <c r="N61" i="7"/>
  <c r="U61" i="7" s="1"/>
  <c r="U69" i="7" s="1"/>
  <c r="P60" i="7"/>
  <c r="W60" i="7" s="1"/>
  <c r="W68" i="7" s="1"/>
  <c r="R59" i="7"/>
  <c r="Y59" i="7" s="1"/>
  <c r="Y67" i="7" s="1"/>
  <c r="N59" i="7"/>
  <c r="U59" i="7" s="1"/>
  <c r="U67" i="7" s="1"/>
  <c r="P58" i="7"/>
  <c r="W58" i="7" s="1"/>
  <c r="W66" i="7" s="1"/>
  <c r="R57" i="7"/>
  <c r="Y57" i="7" s="1"/>
  <c r="Y65" i="7" s="1"/>
  <c r="N57" i="7"/>
  <c r="U57" i="7" s="1"/>
  <c r="U65" i="7" s="1"/>
  <c r="P56" i="7"/>
  <c r="W56" i="7" s="1"/>
  <c r="W64" i="7" s="1"/>
  <c r="Q61" i="7"/>
  <c r="X61" i="7" s="1"/>
  <c r="X69" i="7" s="1"/>
  <c r="M61" i="7"/>
  <c r="T61" i="7" s="1"/>
  <c r="T69" i="7" s="1"/>
  <c r="O60" i="7"/>
  <c r="V60" i="7" s="1"/>
  <c r="V68" i="7" s="1"/>
  <c r="Q59" i="7"/>
  <c r="X59" i="7" s="1"/>
  <c r="X67" i="7" s="1"/>
  <c r="M59" i="7"/>
  <c r="T59" i="7" s="1"/>
  <c r="T67" i="7" s="1"/>
  <c r="O58" i="7"/>
  <c r="V58" i="7" s="1"/>
  <c r="V66" i="7" s="1"/>
  <c r="Q57" i="7"/>
  <c r="X57" i="7" s="1"/>
  <c r="X65" i="7" s="1"/>
  <c r="M57" i="7"/>
  <c r="T57" i="7" s="1"/>
  <c r="T65" i="7" s="1"/>
  <c r="O56" i="7"/>
  <c r="V56" i="7" s="1"/>
  <c r="V64" i="7" s="1"/>
  <c r="P61" i="7"/>
  <c r="W61" i="7" s="1"/>
  <c r="W69" i="7" s="1"/>
  <c r="R60" i="7"/>
  <c r="Y60" i="7" s="1"/>
  <c r="Y68" i="7" s="1"/>
  <c r="N60" i="7"/>
  <c r="U60" i="7" s="1"/>
  <c r="U68" i="7" s="1"/>
  <c r="P59" i="7"/>
  <c r="W59" i="7" s="1"/>
  <c r="W67" i="7" s="1"/>
  <c r="R58" i="7"/>
  <c r="Y58" i="7" s="1"/>
  <c r="Y66" i="7" s="1"/>
  <c r="N58" i="7"/>
  <c r="U58" i="7" s="1"/>
  <c r="U66" i="7" s="1"/>
  <c r="P57" i="7"/>
  <c r="W57" i="7" s="1"/>
  <c r="W65" i="7" s="1"/>
  <c r="R56" i="7"/>
  <c r="Y56" i="7" s="1"/>
  <c r="Y64" i="7" s="1"/>
  <c r="N56" i="7"/>
  <c r="U56" i="7" s="1"/>
  <c r="U64" i="7" s="1"/>
  <c r="O61" i="7"/>
  <c r="V61" i="7" s="1"/>
  <c r="V69" i="7" s="1"/>
  <c r="Q60" i="7"/>
  <c r="X60" i="7" s="1"/>
  <c r="X68" i="7" s="1"/>
  <c r="M60" i="7"/>
  <c r="T60" i="7" s="1"/>
  <c r="T68" i="7" s="1"/>
  <c r="O59" i="7"/>
  <c r="V59" i="7" s="1"/>
  <c r="V67" i="7" s="1"/>
  <c r="Q58" i="7"/>
  <c r="X58" i="7" s="1"/>
  <c r="X66" i="7" s="1"/>
  <c r="M58" i="7"/>
  <c r="T58" i="7" s="1"/>
  <c r="T66" i="7" s="1"/>
  <c r="O57" i="7"/>
  <c r="V57" i="7" s="1"/>
  <c r="V65" i="7" s="1"/>
  <c r="Q56" i="7"/>
  <c r="X56" i="7" s="1"/>
  <c r="X64" i="7" s="1"/>
  <c r="M56" i="7"/>
  <c r="T56" i="7" s="1"/>
  <c r="O110" i="6" a="1"/>
  <c r="O96" i="6" a="1"/>
  <c r="U75" i="6"/>
  <c r="W75" i="6" s="1"/>
  <c r="O75" i="6" a="1"/>
  <c r="O58" i="6" a="1"/>
  <c r="U58" i="6"/>
  <c r="W58" i="6" s="1"/>
  <c r="G25" i="4"/>
  <c r="E25" i="4"/>
  <c r="E26" i="4"/>
  <c r="E24" i="4"/>
  <c r="C51" i="3"/>
  <c r="L27" i="6" l="1"/>
  <c r="F130" i="6" a="1"/>
  <c r="H130" i="6" a="1"/>
  <c r="H131" i="6" s="1"/>
  <c r="E130" i="6" a="1"/>
  <c r="E130" i="6" s="1"/>
  <c r="G130" i="6" a="1"/>
  <c r="G131" i="6" s="1"/>
  <c r="I130" i="6" a="1"/>
  <c r="I132" i="6" s="1"/>
  <c r="D130" i="6" a="1"/>
  <c r="D131" i="6" s="1"/>
  <c r="X28" i="7"/>
  <c r="X32" i="7"/>
  <c r="U31" i="7"/>
  <c r="V28" i="7"/>
  <c r="T31" i="7"/>
  <c r="X27" i="7"/>
  <c r="W27" i="7"/>
  <c r="T30" i="7"/>
  <c r="U30" i="7"/>
  <c r="W29" i="7"/>
  <c r="W30" i="7"/>
  <c r="Y32" i="7"/>
  <c r="W28" i="7"/>
  <c r="X29" i="7"/>
  <c r="X31" i="7"/>
  <c r="V31" i="7"/>
  <c r="Y28" i="7"/>
  <c r="T32" i="7"/>
  <c r="T28" i="7"/>
  <c r="V30" i="7"/>
  <c r="U28" i="7"/>
  <c r="W31" i="7"/>
  <c r="Y29" i="7"/>
  <c r="T27" i="7"/>
  <c r="V27" i="7"/>
  <c r="V32" i="7"/>
  <c r="Y31" i="7"/>
  <c r="U27" i="7"/>
  <c r="U32" i="7"/>
  <c r="W32" i="7"/>
  <c r="Y27" i="7"/>
  <c r="V29" i="7"/>
  <c r="T29" i="7"/>
  <c r="U29" i="7"/>
  <c r="T71" i="7"/>
  <c r="F49" i="6"/>
  <c r="H130" i="6"/>
  <c r="F130" i="6"/>
  <c r="F132" i="6"/>
  <c r="F131" i="6"/>
  <c r="O112" i="6"/>
  <c r="Q110" i="6"/>
  <c r="Q111" i="6"/>
  <c r="P110" i="6"/>
  <c r="Q112" i="6"/>
  <c r="P111" i="6"/>
  <c r="O110" i="6"/>
  <c r="O111" i="6"/>
  <c r="P112" i="6"/>
  <c r="Q97" i="6"/>
  <c r="P96" i="6"/>
  <c r="Q98" i="6"/>
  <c r="P97" i="6"/>
  <c r="O96" i="6"/>
  <c r="P98" i="6"/>
  <c r="O97" i="6"/>
  <c r="O98" i="6"/>
  <c r="Q96" i="6"/>
  <c r="Q76" i="6"/>
  <c r="P75" i="6"/>
  <c r="Q75" i="6"/>
  <c r="Q77" i="6"/>
  <c r="P76" i="6"/>
  <c r="O75" i="6"/>
  <c r="P77" i="6"/>
  <c r="O76" i="6"/>
  <c r="O77" i="6"/>
  <c r="Q60" i="6"/>
  <c r="P59" i="6"/>
  <c r="O58" i="6"/>
  <c r="P60" i="6"/>
  <c r="O59" i="6"/>
  <c r="O60" i="6"/>
  <c r="Q58" i="6"/>
  <c r="Q59" i="6"/>
  <c r="P58" i="6"/>
  <c r="C29" i="4"/>
  <c r="G30" i="4" s="1"/>
  <c r="C28" i="4"/>
  <c r="C25" i="4"/>
  <c r="C24" i="4"/>
  <c r="E28" i="4"/>
  <c r="J29" i="4"/>
  <c r="H29" i="4"/>
  <c r="G29" i="4"/>
  <c r="E29" i="4"/>
  <c r="J30" i="4"/>
  <c r="I28" i="4"/>
  <c r="H28" i="4"/>
  <c r="F28" i="4"/>
  <c r="F30" i="4"/>
  <c r="J26" i="4"/>
  <c r="I26" i="4"/>
  <c r="H26" i="4"/>
  <c r="G26" i="4"/>
  <c r="F26" i="4"/>
  <c r="J25" i="4"/>
  <c r="H25" i="4"/>
  <c r="I24" i="4"/>
  <c r="H24" i="4"/>
  <c r="F24" i="4"/>
  <c r="D130" i="6" l="1"/>
  <c r="H132" i="6"/>
  <c r="E131" i="6"/>
  <c r="E132" i="6"/>
  <c r="G130" i="6"/>
  <c r="G132" i="6"/>
  <c r="I130" i="6"/>
  <c r="D132" i="6"/>
  <c r="I131" i="6"/>
  <c r="D79" i="6" a="1"/>
  <c r="D79" i="6" s="1"/>
  <c r="D62" i="6" a="1"/>
  <c r="D100" i="6" a="1"/>
  <c r="D51" i="6"/>
  <c r="H51" i="6" s="1"/>
  <c r="B51" i="6"/>
  <c r="F51" i="6" s="1"/>
  <c r="D50" i="6"/>
  <c r="H50" i="6" s="1"/>
  <c r="U26" i="6"/>
  <c r="W26" i="6" s="1"/>
  <c r="C51" i="6"/>
  <c r="G51" i="6" s="1"/>
  <c r="B50" i="6"/>
  <c r="F50" i="6" s="1"/>
  <c r="C50" i="6"/>
  <c r="G50" i="6" s="1"/>
  <c r="G49" i="6"/>
  <c r="H62" i="6" a="1"/>
  <c r="H49" i="6"/>
  <c r="F114" i="6" a="1"/>
  <c r="E114" i="6" a="1"/>
  <c r="H114" i="6" a="1"/>
  <c r="I114" i="6" a="1"/>
  <c r="G114" i="6" a="1"/>
  <c r="S26" i="6"/>
  <c r="H100" i="6" a="1"/>
  <c r="I100" i="6" a="1"/>
  <c r="E100" i="6" a="1"/>
  <c r="F100" i="6" a="1"/>
  <c r="G100" i="6" a="1"/>
  <c r="G79" i="6" a="1"/>
  <c r="E79" i="6" a="1"/>
  <c r="I79" i="6" a="1"/>
  <c r="F79" i="6" a="1"/>
  <c r="H79" i="6" a="1"/>
  <c r="F62" i="6" a="1"/>
  <c r="G62" i="6" a="1"/>
  <c r="E62" i="6" a="1"/>
  <c r="I62" i="6" a="1"/>
  <c r="L24" i="4" a="1"/>
  <c r="L24" i="4" s="1"/>
  <c r="H30" i="4"/>
  <c r="E30" i="4"/>
  <c r="L28" i="4" s="1" a="1"/>
  <c r="I30" i="4"/>
  <c r="K130" i="6" l="1" a="1"/>
  <c r="L132" i="6" s="1"/>
  <c r="D81" i="6"/>
  <c r="D80" i="6"/>
  <c r="K130" i="6"/>
  <c r="K131" i="6"/>
  <c r="M133" i="6"/>
  <c r="M135" i="6"/>
  <c r="L130" i="6"/>
  <c r="L134" i="6"/>
  <c r="M134" i="6"/>
  <c r="M132" i="6"/>
  <c r="K133" i="6"/>
  <c r="L131" i="6"/>
  <c r="K132" i="6"/>
  <c r="K135" i="6"/>
  <c r="M130" i="6"/>
  <c r="L135" i="6"/>
  <c r="D62" i="6"/>
  <c r="D63" i="6"/>
  <c r="D64" i="6"/>
  <c r="D100" i="6"/>
  <c r="D102" i="6"/>
  <c r="D101" i="6"/>
  <c r="E115" i="6"/>
  <c r="E114" i="6"/>
  <c r="E116" i="6"/>
  <c r="F114" i="6"/>
  <c r="F116" i="6"/>
  <c r="F115" i="6"/>
  <c r="I114" i="6"/>
  <c r="I115" i="6"/>
  <c r="I116" i="6"/>
  <c r="H62" i="6"/>
  <c r="H64" i="6"/>
  <c r="H63" i="6"/>
  <c r="G114" i="6"/>
  <c r="G116" i="6"/>
  <c r="G115" i="6"/>
  <c r="H114" i="6"/>
  <c r="H115" i="6"/>
  <c r="H116" i="6"/>
  <c r="G100" i="6"/>
  <c r="G102" i="6"/>
  <c r="G101" i="6"/>
  <c r="H100" i="6"/>
  <c r="H101" i="6"/>
  <c r="H102" i="6"/>
  <c r="E100" i="6"/>
  <c r="E101" i="6"/>
  <c r="E102" i="6"/>
  <c r="F100" i="6"/>
  <c r="F101" i="6"/>
  <c r="F102" i="6"/>
  <c r="I100" i="6"/>
  <c r="I102" i="6"/>
  <c r="I101" i="6"/>
  <c r="G79" i="6"/>
  <c r="G81" i="6"/>
  <c r="G80" i="6"/>
  <c r="H79" i="6"/>
  <c r="H81" i="6"/>
  <c r="H80" i="6"/>
  <c r="I79" i="6"/>
  <c r="I81" i="6"/>
  <c r="I80" i="6"/>
  <c r="F79" i="6"/>
  <c r="F80" i="6"/>
  <c r="F81" i="6"/>
  <c r="E79" i="6"/>
  <c r="E81" i="6"/>
  <c r="E80" i="6"/>
  <c r="G62" i="6"/>
  <c r="G64" i="6"/>
  <c r="G63" i="6"/>
  <c r="F62" i="6"/>
  <c r="F64" i="6"/>
  <c r="F63" i="6"/>
  <c r="E62" i="6"/>
  <c r="E63" i="6"/>
  <c r="E64" i="6"/>
  <c r="I62" i="6"/>
  <c r="I64" i="6"/>
  <c r="I63" i="6"/>
  <c r="L25" i="4"/>
  <c r="M26" i="4"/>
  <c r="M24" i="4"/>
  <c r="M25" i="4"/>
  <c r="N26" i="4"/>
  <c r="N25" i="4"/>
  <c r="L26" i="4"/>
  <c r="N24" i="4"/>
  <c r="L28" i="4"/>
  <c r="N28" i="4"/>
  <c r="M29" i="4"/>
  <c r="M28" i="4"/>
  <c r="L30" i="4"/>
  <c r="N30" i="4"/>
  <c r="M30" i="4"/>
  <c r="N29" i="4"/>
  <c r="L29" i="4"/>
  <c r="M131" i="6" l="1"/>
  <c r="L133" i="6"/>
  <c r="K134" i="6"/>
  <c r="O130" i="6" s="1" a="1"/>
  <c r="K79" i="6" a="1"/>
  <c r="L84" i="6" s="1"/>
  <c r="F30" i="6" a="1"/>
  <c r="F30" i="6" s="1"/>
  <c r="H30" i="6" a="1"/>
  <c r="H31" i="6" s="1"/>
  <c r="O50" i="6"/>
  <c r="P50" i="6"/>
  <c r="I30" i="6" a="1"/>
  <c r="I30" i="6" s="1"/>
  <c r="N51" i="6"/>
  <c r="N50" i="6"/>
  <c r="G30" i="6" a="1"/>
  <c r="G31" i="6" s="1"/>
  <c r="O49" i="6"/>
  <c r="P49" i="6"/>
  <c r="O51" i="6"/>
  <c r="P51" i="6"/>
  <c r="K114" i="6" a="1"/>
  <c r="M118" i="6" s="1"/>
  <c r="E30" i="6" a="1"/>
  <c r="E31" i="6" s="1"/>
  <c r="K100" i="6" a="1"/>
  <c r="K103" i="6" s="1"/>
  <c r="K62" i="6" a="1"/>
  <c r="P24" i="4"/>
  <c r="R24" i="4" s="1"/>
  <c r="P28" i="4"/>
  <c r="R28" i="4" s="1"/>
  <c r="K84" i="6" l="1"/>
  <c r="K79" i="6"/>
  <c r="L81" i="6"/>
  <c r="K115" i="6"/>
  <c r="M83" i="6"/>
  <c r="L83" i="6"/>
  <c r="M81" i="6"/>
  <c r="K82" i="6"/>
  <c r="M80" i="6"/>
  <c r="K80" i="6"/>
  <c r="I31" i="6"/>
  <c r="M79" i="6"/>
  <c r="L80" i="6"/>
  <c r="K83" i="6"/>
  <c r="F31" i="6"/>
  <c r="L82" i="6"/>
  <c r="K81" i="6"/>
  <c r="L79" i="6"/>
  <c r="H30" i="6"/>
  <c r="F32" i="6"/>
  <c r="M84" i="6"/>
  <c r="M82" i="6"/>
  <c r="H32" i="6"/>
  <c r="I32" i="6"/>
  <c r="M114" i="6"/>
  <c r="E32" i="6"/>
  <c r="G32" i="6"/>
  <c r="E30" i="6"/>
  <c r="G30" i="6"/>
  <c r="M117" i="6"/>
  <c r="L117" i="6"/>
  <c r="K117" i="6"/>
  <c r="M115" i="6"/>
  <c r="M119" i="6"/>
  <c r="K116" i="6"/>
  <c r="L118" i="6"/>
  <c r="L119" i="6"/>
  <c r="K118" i="6"/>
  <c r="L114" i="6"/>
  <c r="L115" i="6"/>
  <c r="L116" i="6"/>
  <c r="K114" i="6"/>
  <c r="K119" i="6"/>
  <c r="M116" i="6"/>
  <c r="K100" i="6"/>
  <c r="L103" i="6"/>
  <c r="M100" i="6"/>
  <c r="K105" i="6"/>
  <c r="M103" i="6"/>
  <c r="M105" i="6"/>
  <c r="L104" i="6"/>
  <c r="L102" i="6"/>
  <c r="M104" i="6"/>
  <c r="L105" i="6"/>
  <c r="L101" i="6"/>
  <c r="M102" i="6"/>
  <c r="K101" i="6"/>
  <c r="L100" i="6"/>
  <c r="R130" i="6"/>
  <c r="Y130" i="6" s="1"/>
  <c r="T132" i="6"/>
  <c r="AA132" i="6" s="1"/>
  <c r="P135" i="6"/>
  <c r="W135" i="6" s="1"/>
  <c r="Q130" i="6"/>
  <c r="X130" i="6" s="1"/>
  <c r="O132" i="6"/>
  <c r="V132" i="6" s="1"/>
  <c r="R131" i="6"/>
  <c r="Y131" i="6" s="1"/>
  <c r="O130" i="6"/>
  <c r="V130" i="6" s="1"/>
  <c r="Q132" i="6"/>
  <c r="X132" i="6" s="1"/>
  <c r="S131" i="6"/>
  <c r="Z131" i="6" s="1"/>
  <c r="S133" i="6"/>
  <c r="Z133" i="6" s="1"/>
  <c r="P130" i="6"/>
  <c r="W130" i="6" s="1"/>
  <c r="R132" i="6"/>
  <c r="Y132" i="6" s="1"/>
  <c r="T134" i="6"/>
  <c r="AA134" i="6" s="1"/>
  <c r="R134" i="6"/>
  <c r="Y134" i="6" s="1"/>
  <c r="Q131" i="6"/>
  <c r="X131" i="6" s="1"/>
  <c r="T130" i="6"/>
  <c r="AA130" i="6" s="1"/>
  <c r="P134" i="6"/>
  <c r="W134" i="6" s="1"/>
  <c r="O134" i="6"/>
  <c r="V134" i="6" s="1"/>
  <c r="T135" i="6"/>
  <c r="AA135" i="6" s="1"/>
  <c r="Q133" i="6"/>
  <c r="X133" i="6" s="1"/>
  <c r="S135" i="6"/>
  <c r="Z135" i="6" s="1"/>
  <c r="P132" i="6"/>
  <c r="W132" i="6" s="1"/>
  <c r="T133" i="6"/>
  <c r="AA133" i="6" s="1"/>
  <c r="S130" i="6"/>
  <c r="Z130" i="6" s="1"/>
  <c r="P133" i="6"/>
  <c r="W133" i="6" s="1"/>
  <c r="R133" i="6"/>
  <c r="Y133" i="6" s="1"/>
  <c r="O133" i="6"/>
  <c r="V133" i="6" s="1"/>
  <c r="S132" i="6"/>
  <c r="Z132" i="6" s="1"/>
  <c r="T131" i="6"/>
  <c r="AA131" i="6" s="1"/>
  <c r="O131" i="6"/>
  <c r="V131" i="6" s="1"/>
  <c r="O135" i="6"/>
  <c r="V135" i="6" s="1"/>
  <c r="S134" i="6"/>
  <c r="Z134" i="6" s="1"/>
  <c r="R135" i="6"/>
  <c r="Y135" i="6" s="1"/>
  <c r="Q135" i="6"/>
  <c r="X135" i="6" s="1"/>
  <c r="Q134" i="6"/>
  <c r="X134" i="6" s="1"/>
  <c r="P131" i="6"/>
  <c r="W131" i="6" s="1"/>
  <c r="M101" i="6"/>
  <c r="K104" i="6"/>
  <c r="K102" i="6"/>
  <c r="K62" i="6"/>
  <c r="L64" i="6"/>
  <c r="K67" i="6"/>
  <c r="M62" i="6"/>
  <c r="L65" i="6"/>
  <c r="K64" i="6"/>
  <c r="M66" i="6"/>
  <c r="K63" i="6"/>
  <c r="M65" i="6"/>
  <c r="M67" i="6"/>
  <c r="L62" i="6"/>
  <c r="L63" i="6"/>
  <c r="K66" i="6"/>
  <c r="M63" i="6"/>
  <c r="L66" i="6"/>
  <c r="L67" i="6"/>
  <c r="K65" i="6"/>
  <c r="M64" i="6"/>
  <c r="R36" i="4"/>
  <c r="R35" i="4"/>
  <c r="R31" i="4"/>
  <c r="O79" i="6" l="1" a="1"/>
  <c r="O84" i="6" s="1"/>
  <c r="Q83" i="6"/>
  <c r="S79" i="6"/>
  <c r="T81" i="6"/>
  <c r="O62" i="6" a="1"/>
  <c r="K30" i="6" a="1"/>
  <c r="M33" i="6" s="1"/>
  <c r="O114" i="6" a="1"/>
  <c r="R118" i="6" s="1"/>
  <c r="Y118" i="6" s="1"/>
  <c r="O100" i="6" a="1"/>
  <c r="T105" i="6" s="1"/>
  <c r="AA105" i="6" s="1"/>
  <c r="Q79" i="6" l="1"/>
  <c r="S83" i="6"/>
  <c r="Z83" i="6" s="1"/>
  <c r="P81" i="6"/>
  <c r="O80" i="6"/>
  <c r="V80" i="6" s="1"/>
  <c r="R81" i="6"/>
  <c r="Y81" i="6" s="1"/>
  <c r="O83" i="6"/>
  <c r="V83" i="6" s="1"/>
  <c r="T84" i="6"/>
  <c r="AA84" i="6" s="1"/>
  <c r="T80" i="6"/>
  <c r="AA80" i="6" s="1"/>
  <c r="S82" i="6"/>
  <c r="R84" i="6"/>
  <c r="Y84" i="6" s="1"/>
  <c r="R80" i="6"/>
  <c r="Y80" i="6" s="1"/>
  <c r="Q82" i="6"/>
  <c r="X82" i="6" s="1"/>
  <c r="P84" i="6"/>
  <c r="W84" i="6" s="1"/>
  <c r="P80" i="6"/>
  <c r="W80" i="6" s="1"/>
  <c r="O82" i="6"/>
  <c r="V82" i="6" s="1"/>
  <c r="Q118" i="6"/>
  <c r="X118" i="6" s="1"/>
  <c r="T83" i="6"/>
  <c r="T79" i="6"/>
  <c r="AA79" i="6" s="1"/>
  <c r="S81" i="6"/>
  <c r="Z81" i="6" s="1"/>
  <c r="R83" i="6"/>
  <c r="Y83" i="6" s="1"/>
  <c r="R79" i="6"/>
  <c r="Y79" i="6" s="1"/>
  <c r="Q81" i="6"/>
  <c r="X81" i="6" s="1"/>
  <c r="P83" i="6"/>
  <c r="W83" i="6" s="1"/>
  <c r="P79" i="6"/>
  <c r="W79" i="6" s="1"/>
  <c r="O79" i="6"/>
  <c r="S118" i="6"/>
  <c r="R119" i="6"/>
  <c r="Y119" i="6" s="1"/>
  <c r="O81" i="6"/>
  <c r="V81" i="6" s="1"/>
  <c r="T82" i="6"/>
  <c r="AA82" i="6" s="1"/>
  <c r="S84" i="6"/>
  <c r="Z84" i="6" s="1"/>
  <c r="S80" i="6"/>
  <c r="Z80" i="6" s="1"/>
  <c r="R82" i="6"/>
  <c r="Y82" i="6" s="1"/>
  <c r="Q84" i="6"/>
  <c r="X84" i="6" s="1"/>
  <c r="Q80" i="6"/>
  <c r="X80" i="6" s="1"/>
  <c r="P82" i="6"/>
  <c r="W82" i="6" s="1"/>
  <c r="O118" i="6"/>
  <c r="V118" i="6" s="1"/>
  <c r="P116" i="6"/>
  <c r="W116" i="6" s="1"/>
  <c r="O115" i="6"/>
  <c r="V115" i="6" s="1"/>
  <c r="P115" i="6"/>
  <c r="W115" i="6" s="1"/>
  <c r="T114" i="6"/>
  <c r="AA114" i="6" s="1"/>
  <c r="S117" i="6"/>
  <c r="Z117" i="6" s="1"/>
  <c r="R115" i="6"/>
  <c r="Y115" i="6" s="1"/>
  <c r="P117" i="6"/>
  <c r="W117" i="6" s="1"/>
  <c r="T118" i="6"/>
  <c r="AA118" i="6" s="1"/>
  <c r="T117" i="6"/>
  <c r="AA117" i="6" s="1"/>
  <c r="O117" i="6"/>
  <c r="V117" i="6" s="1"/>
  <c r="R117" i="6"/>
  <c r="Y117" i="6" s="1"/>
  <c r="O116" i="6"/>
  <c r="V116" i="6" s="1"/>
  <c r="Q115" i="6"/>
  <c r="X115" i="6" s="1"/>
  <c r="T119" i="6"/>
  <c r="AA119" i="6" s="1"/>
  <c r="Q117" i="6"/>
  <c r="X117" i="6" s="1"/>
  <c r="P114" i="6"/>
  <c r="W114" i="6" s="1"/>
  <c r="S119" i="6"/>
  <c r="Z119" i="6" s="1"/>
  <c r="O114" i="6"/>
  <c r="V114" i="6" s="1"/>
  <c r="P119" i="6"/>
  <c r="W119" i="6" s="1"/>
  <c r="S115" i="6"/>
  <c r="Z115" i="6" s="1"/>
  <c r="S114" i="6"/>
  <c r="Z114" i="6" s="1"/>
  <c r="O119" i="6"/>
  <c r="V119" i="6" s="1"/>
  <c r="T116" i="6"/>
  <c r="AA116" i="6" s="1"/>
  <c r="T115" i="6"/>
  <c r="AA115" i="6" s="1"/>
  <c r="K33" i="6"/>
  <c r="L33" i="6"/>
  <c r="L34" i="6"/>
  <c r="K32" i="6"/>
  <c r="M30" i="6"/>
  <c r="L32" i="6"/>
  <c r="L30" i="6"/>
  <c r="K34" i="6"/>
  <c r="M31" i="6"/>
  <c r="K30" i="6"/>
  <c r="O62" i="6"/>
  <c r="V62" i="6" s="1"/>
  <c r="S63" i="6"/>
  <c r="Z63" i="6" s="1"/>
  <c r="Z87" i="6" s="1"/>
  <c r="Q63" i="6"/>
  <c r="X63" i="6" s="1"/>
  <c r="R67" i="6"/>
  <c r="Y67" i="6" s="1"/>
  <c r="Y91" i="6" s="1"/>
  <c r="P63" i="6"/>
  <c r="W63" i="6" s="1"/>
  <c r="W87" i="6" s="1"/>
  <c r="R65" i="6"/>
  <c r="Y65" i="6" s="1"/>
  <c r="Y89" i="6" s="1"/>
  <c r="R66" i="6"/>
  <c r="Y66" i="6" s="1"/>
  <c r="Q64" i="6"/>
  <c r="X64" i="6" s="1"/>
  <c r="X88" i="6" s="1"/>
  <c r="P66" i="6"/>
  <c r="W66" i="6" s="1"/>
  <c r="W90" i="6" s="1"/>
  <c r="S64" i="6"/>
  <c r="Z64" i="6" s="1"/>
  <c r="Z88" i="6" s="1"/>
  <c r="P67" i="6"/>
  <c r="W67" i="6" s="1"/>
  <c r="W91" i="6" s="1"/>
  <c r="O67" i="6"/>
  <c r="V67" i="6" s="1"/>
  <c r="R63" i="6"/>
  <c r="Y63" i="6" s="1"/>
  <c r="Y87" i="6" s="1"/>
  <c r="P65" i="6"/>
  <c r="W65" i="6" s="1"/>
  <c r="W89" i="6" s="1"/>
  <c r="Q66" i="6"/>
  <c r="X66" i="6" s="1"/>
  <c r="O63" i="6"/>
  <c r="V63" i="6" s="1"/>
  <c r="T64" i="6"/>
  <c r="AA64" i="6" s="1"/>
  <c r="AA88" i="6" s="1"/>
  <c r="S66" i="6"/>
  <c r="Z66" i="6" s="1"/>
  <c r="Z90" i="6" s="1"/>
  <c r="O64" i="6"/>
  <c r="V64" i="6" s="1"/>
  <c r="T65" i="6"/>
  <c r="AA65" i="6" s="1"/>
  <c r="AA89" i="6" s="1"/>
  <c r="P62" i="6"/>
  <c r="W62" i="6" s="1"/>
  <c r="T63" i="6"/>
  <c r="AA63" i="6" s="1"/>
  <c r="AA87" i="6" s="1"/>
  <c r="S65" i="6"/>
  <c r="Z65" i="6" s="1"/>
  <c r="Q62" i="6"/>
  <c r="X62" i="6" s="1"/>
  <c r="P64" i="6"/>
  <c r="W64" i="6" s="1"/>
  <c r="O66" i="6"/>
  <c r="V66" i="6" s="1"/>
  <c r="V90" i="6" s="1"/>
  <c r="R64" i="6"/>
  <c r="Y64" i="6" s="1"/>
  <c r="Y88" i="6" s="1"/>
  <c r="T67" i="6"/>
  <c r="AA67" i="6" s="1"/>
  <c r="R62" i="6"/>
  <c r="Y62" i="6" s="1"/>
  <c r="Y86" i="6" s="1"/>
  <c r="O65" i="6"/>
  <c r="V65" i="6" s="1"/>
  <c r="V89" i="6" s="1"/>
  <c r="T66" i="6"/>
  <c r="AA66" i="6" s="1"/>
  <c r="T62" i="6"/>
  <c r="AA62" i="6" s="1"/>
  <c r="AA86" i="6" s="1"/>
  <c r="Q65" i="6"/>
  <c r="X65" i="6" s="1"/>
  <c r="S62" i="6"/>
  <c r="Z62" i="6" s="1"/>
  <c r="Z86" i="6" s="1"/>
  <c r="S67" i="6"/>
  <c r="Q67" i="6"/>
  <c r="X67" i="6" s="1"/>
  <c r="X91" i="6" s="1"/>
  <c r="K35" i="6"/>
  <c r="K31" i="6"/>
  <c r="M35" i="6"/>
  <c r="M34" i="6"/>
  <c r="L35" i="6"/>
  <c r="M32" i="6"/>
  <c r="L31" i="6"/>
  <c r="R116" i="6"/>
  <c r="Y116" i="6" s="1"/>
  <c r="P118" i="6"/>
  <c r="W118" i="6" s="1"/>
  <c r="R114" i="6"/>
  <c r="Y114" i="6" s="1"/>
  <c r="Q119" i="6"/>
  <c r="X119" i="6" s="1"/>
  <c r="Q116" i="6"/>
  <c r="X116" i="6" s="1"/>
  <c r="S116" i="6"/>
  <c r="Z116" i="6" s="1"/>
  <c r="Q114" i="6"/>
  <c r="X114" i="6" s="1"/>
  <c r="T102" i="6"/>
  <c r="AA102" i="6" s="1"/>
  <c r="R104" i="6"/>
  <c r="Y104" i="6" s="1"/>
  <c r="Q101" i="6"/>
  <c r="X101" i="6" s="1"/>
  <c r="P105" i="6"/>
  <c r="W105" i="6" s="1"/>
  <c r="S101" i="6"/>
  <c r="Z101" i="6" s="1"/>
  <c r="Q102" i="6"/>
  <c r="X102" i="6" s="1"/>
  <c r="T104" i="6"/>
  <c r="AA104" i="6" s="1"/>
  <c r="R100" i="6"/>
  <c r="Y100" i="6" s="1"/>
  <c r="T103" i="6"/>
  <c r="AA103" i="6" s="1"/>
  <c r="P104" i="6"/>
  <c r="W104" i="6" s="1"/>
  <c r="T101" i="6"/>
  <c r="AA101" i="6" s="1"/>
  <c r="O105" i="6"/>
  <c r="V105" i="6" s="1"/>
  <c r="S104" i="6"/>
  <c r="Z104" i="6" s="1"/>
  <c r="T100" i="6"/>
  <c r="AA100" i="6" s="1"/>
  <c r="P103" i="6"/>
  <c r="W103" i="6" s="1"/>
  <c r="Q100" i="6"/>
  <c r="X100" i="6" s="1"/>
  <c r="S103" i="6"/>
  <c r="Z103" i="6" s="1"/>
  <c r="O103" i="6"/>
  <c r="V103" i="6" s="1"/>
  <c r="S105" i="6"/>
  <c r="Z105" i="6" s="1"/>
  <c r="S102" i="6"/>
  <c r="Z102" i="6" s="1"/>
  <c r="P100" i="6"/>
  <c r="W100" i="6" s="1"/>
  <c r="O102" i="6"/>
  <c r="V102" i="6" s="1"/>
  <c r="O100" i="6"/>
  <c r="V100" i="6" s="1"/>
  <c r="R105" i="6"/>
  <c r="Y105" i="6" s="1"/>
  <c r="P101" i="6"/>
  <c r="W101" i="6" s="1"/>
  <c r="R101" i="6"/>
  <c r="Y101" i="6" s="1"/>
  <c r="P102" i="6"/>
  <c r="W102" i="6" s="1"/>
  <c r="O101" i="6"/>
  <c r="V101" i="6" s="1"/>
  <c r="O104" i="6"/>
  <c r="V104" i="6" s="1"/>
  <c r="Q104" i="6"/>
  <c r="X104" i="6" s="1"/>
  <c r="R103" i="6"/>
  <c r="Y103" i="6" s="1"/>
  <c r="S100" i="6"/>
  <c r="Z100" i="6" s="1"/>
  <c r="Q105" i="6"/>
  <c r="X105" i="6" s="1"/>
  <c r="Q103" i="6"/>
  <c r="X103" i="6" s="1"/>
  <c r="R102" i="6"/>
  <c r="Y102" i="6" s="1"/>
  <c r="Z118" i="6"/>
  <c r="X83" i="6"/>
  <c r="AA83" i="6"/>
  <c r="W81" i="6"/>
  <c r="V84" i="6"/>
  <c r="AA81" i="6"/>
  <c r="Z79" i="6"/>
  <c r="X79" i="6"/>
  <c r="Z67" i="6"/>
  <c r="Z91" i="6" s="1"/>
  <c r="N42" i="3" a="1"/>
  <c r="P44" i="3" s="1"/>
  <c r="T44" i="3" s="1"/>
  <c r="X89" i="6" l="1"/>
  <c r="W88" i="6"/>
  <c r="W86" i="6"/>
  <c r="AA91" i="6"/>
  <c r="X86" i="6"/>
  <c r="V87" i="6"/>
  <c r="V91" i="6"/>
  <c r="AA90" i="6"/>
  <c r="Z89" i="6"/>
  <c r="V88" i="6"/>
  <c r="X90" i="6"/>
  <c r="Y90" i="6"/>
  <c r="X87" i="6"/>
  <c r="V79" i="6" a="1"/>
  <c r="V79" i="6" s="1"/>
  <c r="V86" i="6" s="1"/>
  <c r="Z82" i="6" a="1"/>
  <c r="Z82" i="6" s="1"/>
  <c r="O30" i="6" a="1"/>
  <c r="O30" i="6" s="1"/>
  <c r="V30" i="6" s="1"/>
  <c r="N38" i="3" a="1"/>
  <c r="O40" i="3" s="1"/>
  <c r="S40" i="3" s="1"/>
  <c r="N34" i="3" a="1"/>
  <c r="N36" i="3" s="1"/>
  <c r="R36" i="3" s="1"/>
  <c r="N30" i="3" a="1"/>
  <c r="P32" i="3" s="1"/>
  <c r="T32" i="3" s="1"/>
  <c r="N26" i="3" a="1"/>
  <c r="P28" i="3" s="1"/>
  <c r="T28" i="3" s="1"/>
  <c r="N22" i="3" a="1"/>
  <c r="N22" i="3" s="1"/>
  <c r="R22" i="3" s="1"/>
  <c r="N18" i="3" a="1"/>
  <c r="N18" i="3" s="1"/>
  <c r="R18" i="3" s="1"/>
  <c r="N43" i="3"/>
  <c r="R43" i="3" s="1"/>
  <c r="O44" i="3"/>
  <c r="S44" i="3" s="1"/>
  <c r="O42" i="3"/>
  <c r="S42" i="3" s="1"/>
  <c r="P43" i="3"/>
  <c r="T43" i="3" s="1"/>
  <c r="P42" i="3"/>
  <c r="T42" i="3" s="1"/>
  <c r="N44" i="3"/>
  <c r="R44" i="3" s="1"/>
  <c r="N42" i="3"/>
  <c r="R42" i="3" s="1"/>
  <c r="O43" i="3"/>
  <c r="S43" i="3" s="1"/>
  <c r="H4" i="3"/>
  <c r="Q33" i="6" l="1"/>
  <c r="X33" i="6" s="1"/>
  <c r="O32" i="6"/>
  <c r="V32" i="6" s="1"/>
  <c r="P35" i="6"/>
  <c r="W35" i="6" s="1"/>
  <c r="P32" i="6"/>
  <c r="W32" i="6" s="1"/>
  <c r="R33" i="6"/>
  <c r="Y33" i="6" s="1"/>
  <c r="Q32" i="6"/>
  <c r="X32" i="6" s="1"/>
  <c r="T32" i="6"/>
  <c r="AA32" i="6" s="1"/>
  <c r="R32" i="6"/>
  <c r="Y32" i="6" s="1"/>
  <c r="Q34" i="6"/>
  <c r="X34" i="6" s="1"/>
  <c r="O33" i="6"/>
  <c r="V33" i="6" s="1"/>
  <c r="Q31" i="6"/>
  <c r="X31" i="6" s="1"/>
  <c r="P30" i="6"/>
  <c r="W30" i="6" s="1"/>
  <c r="P34" i="6"/>
  <c r="W34" i="6" s="1"/>
  <c r="Q35" i="6"/>
  <c r="X35" i="6" s="1"/>
  <c r="S35" i="6"/>
  <c r="Z35" i="6" s="1"/>
  <c r="S34" i="6"/>
  <c r="Z34" i="6" s="1"/>
  <c r="S30" i="6"/>
  <c r="Z30" i="6" s="1"/>
  <c r="T34" i="6"/>
  <c r="AA34" i="6" s="1"/>
  <c r="Q30" i="6"/>
  <c r="X30" i="6" s="1"/>
  <c r="R31" i="6"/>
  <c r="Y31" i="6" s="1"/>
  <c r="T35" i="6"/>
  <c r="AA35" i="6" s="1"/>
  <c r="R35" i="6"/>
  <c r="Y35" i="6" s="1"/>
  <c r="O31" i="6"/>
  <c r="V31" i="6" s="1"/>
  <c r="O34" i="6"/>
  <c r="V34" i="6" s="1"/>
  <c r="T33" i="6"/>
  <c r="AA33" i="6" s="1"/>
  <c r="P33" i="6"/>
  <c r="W33" i="6" s="1"/>
  <c r="P31" i="6"/>
  <c r="W31" i="6" s="1"/>
  <c r="S31" i="6"/>
  <c r="Z31" i="6" s="1"/>
  <c r="S33" i="6"/>
  <c r="Z33" i="6" s="1"/>
  <c r="T31" i="6"/>
  <c r="AA31" i="6" s="1"/>
  <c r="O35" i="6"/>
  <c r="V35" i="6" s="1"/>
  <c r="R34" i="6"/>
  <c r="Y34" i="6" s="1"/>
  <c r="R30" i="6"/>
  <c r="Y30" i="6" s="1"/>
  <c r="S32" i="6"/>
  <c r="Z32" i="6" s="1"/>
  <c r="T30" i="6"/>
  <c r="AA30" i="6" s="1"/>
  <c r="V42" i="3"/>
  <c r="P38" i="3"/>
  <c r="T38" i="3" s="1"/>
  <c r="O39" i="3"/>
  <c r="S39" i="3" s="1"/>
  <c r="N38" i="3"/>
  <c r="R38" i="3" s="1"/>
  <c r="P39" i="3"/>
  <c r="T39" i="3" s="1"/>
  <c r="O38" i="3"/>
  <c r="S38" i="3" s="1"/>
  <c r="N39" i="3"/>
  <c r="R39" i="3" s="1"/>
  <c r="N40" i="3"/>
  <c r="R40" i="3" s="1"/>
  <c r="P40" i="3"/>
  <c r="T40" i="3" s="1"/>
  <c r="P35" i="3"/>
  <c r="T35" i="3" s="1"/>
  <c r="P34" i="3"/>
  <c r="T34" i="3" s="1"/>
  <c r="O35" i="3"/>
  <c r="S35" i="3" s="1"/>
  <c r="N34" i="3"/>
  <c r="R34" i="3" s="1"/>
  <c r="O34" i="3"/>
  <c r="S34" i="3" s="1"/>
  <c r="O36" i="3"/>
  <c r="S36" i="3" s="1"/>
  <c r="P36" i="3"/>
  <c r="T36" i="3" s="1"/>
  <c r="N35" i="3"/>
  <c r="R35" i="3" s="1"/>
  <c r="O31" i="3"/>
  <c r="S31" i="3" s="1"/>
  <c r="N32" i="3"/>
  <c r="R32" i="3" s="1"/>
  <c r="N30" i="3"/>
  <c r="R30" i="3" s="1"/>
  <c r="P30" i="3"/>
  <c r="T30" i="3" s="1"/>
  <c r="O32" i="3"/>
  <c r="S32" i="3" s="1"/>
  <c r="P31" i="3"/>
  <c r="T31" i="3" s="1"/>
  <c r="N31" i="3"/>
  <c r="R31" i="3" s="1"/>
  <c r="O30" i="3"/>
  <c r="S30" i="3" s="1"/>
  <c r="O26" i="3"/>
  <c r="S26" i="3" s="1"/>
  <c r="P26" i="3"/>
  <c r="T26" i="3" s="1"/>
  <c r="O28" i="3"/>
  <c r="S28" i="3" s="1"/>
  <c r="P27" i="3"/>
  <c r="T27" i="3" s="1"/>
  <c r="O27" i="3"/>
  <c r="S27" i="3" s="1"/>
  <c r="N27" i="3"/>
  <c r="R27" i="3" s="1"/>
  <c r="N26" i="3"/>
  <c r="R26" i="3" s="1"/>
  <c r="N28" i="3"/>
  <c r="R28" i="3" s="1"/>
  <c r="P24" i="3"/>
  <c r="T24" i="3" s="1"/>
  <c r="P22" i="3"/>
  <c r="T22" i="3" s="1"/>
  <c r="P23" i="3"/>
  <c r="T23" i="3" s="1"/>
  <c r="N24" i="3"/>
  <c r="R24" i="3" s="1"/>
  <c r="N23" i="3"/>
  <c r="R23" i="3" s="1"/>
  <c r="O24" i="3"/>
  <c r="S24" i="3" s="1"/>
  <c r="O23" i="3"/>
  <c r="S23" i="3" s="1"/>
  <c r="O22" i="3"/>
  <c r="S22" i="3" s="1"/>
  <c r="P20" i="3"/>
  <c r="T20" i="3" s="1"/>
  <c r="N20" i="3"/>
  <c r="R20" i="3" s="1"/>
  <c r="O18" i="3"/>
  <c r="S18" i="3" s="1"/>
  <c r="O20" i="3"/>
  <c r="S20" i="3" s="1"/>
  <c r="P19" i="3"/>
  <c r="T19" i="3" s="1"/>
  <c r="N19" i="3"/>
  <c r="R19" i="3" s="1"/>
  <c r="O19" i="3"/>
  <c r="S19" i="3" s="1"/>
  <c r="P18" i="3"/>
  <c r="T18" i="3" s="1"/>
  <c r="H16" i="3"/>
  <c r="G16" i="3"/>
  <c r="F16" i="3"/>
  <c r="E16" i="3"/>
  <c r="I15" i="3"/>
  <c r="R14" i="3" l="1"/>
  <c r="V18" i="3"/>
  <c r="V34" i="3"/>
  <c r="V30" i="3"/>
  <c r="V38" i="3"/>
  <c r="V22" i="3"/>
  <c r="V26" i="3"/>
  <c r="T15" i="3" l="1"/>
  <c r="T14" i="3"/>
  <c r="T16" i="3"/>
  <c r="R16" i="3"/>
  <c r="S16" i="3"/>
  <c r="R15" i="3"/>
  <c r="S15" i="3"/>
  <c r="S14" i="3"/>
  <c r="V14" i="3" s="1"/>
  <c r="G61" i="2" l="1"/>
  <c r="H61" i="2" s="1"/>
  <c r="T61" i="2"/>
  <c r="U61" i="2" s="1"/>
  <c r="G79" i="2"/>
  <c r="H79" i="2" s="1"/>
  <c r="G91" i="2"/>
  <c r="H91" i="2" s="1"/>
  <c r="G73" i="2"/>
  <c r="H73" i="2" s="1"/>
  <c r="T79" i="2"/>
  <c r="U79" i="2" s="1"/>
  <c r="T67" i="2"/>
  <c r="U67" i="2" s="1"/>
  <c r="T85" i="2"/>
  <c r="U85" i="2" s="1"/>
  <c r="G67" i="2"/>
  <c r="T73" i="2"/>
  <c r="U73" i="2" s="1"/>
  <c r="G85" i="2"/>
  <c r="H85" i="2" s="1"/>
  <c r="U90" i="2" l="1"/>
  <c r="H67" i="2"/>
  <c r="H96" i="2" s="1"/>
  <c r="V46" i="3"/>
  <c r="X164" i="3" s="1"/>
</calcChain>
</file>

<file path=xl/sharedStrings.xml><?xml version="1.0" encoding="utf-8"?>
<sst xmlns="http://schemas.openxmlformats.org/spreadsheetml/2006/main" count="1043" uniqueCount="146">
  <si>
    <t>X</t>
  </si>
  <si>
    <t>Y</t>
  </si>
  <si>
    <t>Z</t>
  </si>
  <si>
    <t>разбиение на тэтрадры</t>
  </si>
  <si>
    <t>2 способа</t>
  </si>
  <si>
    <t>6 тэтраэдров</t>
  </si>
  <si>
    <t>5 тэтраэдров</t>
  </si>
  <si>
    <t xml:space="preserve"> </t>
  </si>
  <si>
    <t>ξ</t>
  </si>
  <si>
    <t>η</t>
  </si>
  <si>
    <t>ζ</t>
  </si>
  <si>
    <t>x</t>
  </si>
  <si>
    <t>y</t>
  </si>
  <si>
    <t>z</t>
  </si>
  <si>
    <t>коэф</t>
  </si>
  <si>
    <t>точки интегрирования</t>
  </si>
  <si>
    <t>тэтраэдр</t>
  </si>
  <si>
    <t>det[J]</t>
  </si>
  <si>
    <t>узлы с гексы</t>
  </si>
  <si>
    <t>Киселев, стр 110</t>
  </si>
  <si>
    <t>https://www.semestr.online/web/pyramid.php</t>
  </si>
  <si>
    <t>где можно построить многоугольник по точкам</t>
  </si>
  <si>
    <t>как посчитать объем искаженной гегсы, которая имеет координаты</t>
  </si>
  <si>
    <t>точки</t>
  </si>
  <si>
    <t>n</t>
  </si>
  <si>
    <t>ξi</t>
  </si>
  <si>
    <t>Hi</t>
  </si>
  <si>
    <t>слагаемые</t>
  </si>
  <si>
    <t>координата т. интегр.</t>
  </si>
  <si>
    <t>матрица Якоби</t>
  </si>
  <si>
    <t>производные функции формы</t>
  </si>
  <si>
    <t>матрица Якоби (без коэффициента 1/8)</t>
  </si>
  <si>
    <t>V</t>
  </si>
  <si>
    <t>ось</t>
  </si>
  <si>
    <t>δ</t>
  </si>
  <si>
    <t>V тэтр</t>
  </si>
  <si>
    <t>точки, образующие тэтраэдр</t>
  </si>
  <si>
    <t>стр 276-280</t>
  </si>
  <si>
    <t>%</t>
  </si>
  <si>
    <t>пента с 1 точкой интегрирования</t>
  </si>
  <si>
    <t>найдем частные производные в 1 точке интегрирования</t>
  </si>
  <si>
    <t>матрица Якоби [J]</t>
  </si>
  <si>
    <t>{J]-1</t>
  </si>
  <si>
    <t>det[J] (по формуле)</t>
  </si>
  <si>
    <t xml:space="preserve">det[J] </t>
  </si>
  <si>
    <t>dNi/dx</t>
  </si>
  <si>
    <t>dNi/dy</t>
  </si>
  <si>
    <t>dNi/dz</t>
  </si>
  <si>
    <t>производные функции формы dNi/dξ, dNi/dη, dNi/dζ</t>
  </si>
  <si>
    <t>N1</t>
  </si>
  <si>
    <t>N2</t>
  </si>
  <si>
    <t>N3</t>
  </si>
  <si>
    <t>N4</t>
  </si>
  <si>
    <t>N5</t>
  </si>
  <si>
    <t>N6</t>
  </si>
  <si>
    <t>координ. т. интегр.</t>
  </si>
  <si>
    <t>Jacobian Ratio</t>
  </si>
  <si>
    <t>матрица миноров</t>
  </si>
  <si>
    <t>матрица алгебраич дополнений</t>
  </si>
  <si>
    <t>транспонированная матрица</t>
  </si>
  <si>
    <t xml:space="preserve">две точки интегрирования </t>
  </si>
  <si>
    <t xml:space="preserve">три точки интегрирования </t>
  </si>
  <si>
    <t>det[J] *коэф</t>
  </si>
  <si>
    <t>B</t>
  </si>
  <si>
    <t>BT</t>
  </si>
  <si>
    <t>BT*B</t>
  </si>
  <si>
    <t>сумм</t>
  </si>
  <si>
    <t>BT*B*det[J]*коэф</t>
  </si>
  <si>
    <t>сумма</t>
  </si>
  <si>
    <t>одна точка интегрирования</t>
  </si>
  <si>
    <t>detJ</t>
  </si>
  <si>
    <t>detJ* коэф</t>
  </si>
  <si>
    <t>NT</t>
  </si>
  <si>
    <t>NT*N</t>
  </si>
  <si>
    <t>NT*N*detJ*коэф</t>
  </si>
  <si>
    <t>две точки интегрирвания</t>
  </si>
  <si>
    <t>коэф2</t>
  </si>
  <si>
    <t>det[J]* коэф</t>
  </si>
  <si>
    <t>N7</t>
  </si>
  <si>
    <t>N8</t>
  </si>
  <si>
    <t>NT*N*detJ</t>
  </si>
  <si>
    <t xml:space="preserve">сумма </t>
  </si>
  <si>
    <t>для одной точки</t>
  </si>
  <si>
    <t>пример из Сегерлинда со стр 261</t>
  </si>
  <si>
    <t>для двух</t>
  </si>
  <si>
    <t>для трех</t>
  </si>
  <si>
    <t>задача для стержня</t>
  </si>
  <si>
    <t>производные функции формы dNi/dξ</t>
  </si>
  <si>
    <t>для одной</t>
  </si>
  <si>
    <t>опред</t>
  </si>
  <si>
    <t xml:space="preserve">производные функции формы </t>
  </si>
  <si>
    <t>https://ru.wikipedia.org/wiki/%D0%A1%D0%BF%D0%B8%D1%81%D0%BE%D0%BA_%D0%BA%D0%B2%D0%B0%D0%B4%D1%80%D0%B0%D1%82%D1%83%D1%80%D0%BD%D1%8B%D1%85_%D1%84%D0%BE%D1%80%D0%BC%D1%83%D0%BB#%D0%A2%D0%B5%D1%82%D1%80%D0%B0%D1%8D%D0%B4%D1%80%D0%B0%D0%BB%D1%8C%D0%BD%D1%8B%D0%B9_%D0%BC%D0%B0%D1%81%D1%82%D0%B5%D1%80-%D1%8D%D0%BB%D0%B5%D0%BC%D0%B5%D0%BD%D1%82</t>
  </si>
  <si>
    <t>про точки интегрирования и весовую функцию</t>
  </si>
  <si>
    <t>четыре точки интегрирвания</t>
  </si>
  <si>
    <t xml:space="preserve">что делали: рассмотрели производные функци форм черех L-координаты для 3-мерного случая. </t>
  </si>
  <si>
    <t>веса для треугольника на стр 280 Сегерлинда</t>
  </si>
  <si>
    <t>шесть точек интегрирования</t>
  </si>
  <si>
    <t>стр 280 с весами</t>
  </si>
  <si>
    <t>1 точка</t>
  </si>
  <si>
    <t>2 точка</t>
  </si>
  <si>
    <t>3 точка</t>
  </si>
  <si>
    <t>4 точка</t>
  </si>
  <si>
    <t>5 точка</t>
  </si>
  <si>
    <t>6 точка</t>
  </si>
  <si>
    <t>det[J]*0,5</t>
  </si>
  <si>
    <t>слишком мало точек….</t>
  </si>
  <si>
    <t>Киселев</t>
  </si>
  <si>
    <t xml:space="preserve">  </t>
  </si>
  <si>
    <t>раскрыть скобки, привести подобные при Х</t>
  </si>
  <si>
    <t>функции формы для тэтраэдра</t>
  </si>
  <si>
    <t>производные функции формы для тэтраэдра</t>
  </si>
  <si>
    <t>или через ф.формы у Киселева</t>
  </si>
  <si>
    <t>стр 107</t>
  </si>
  <si>
    <t>27 слагаемых</t>
  </si>
  <si>
    <t>det[J]*коэф</t>
  </si>
  <si>
    <t>вес</t>
  </si>
  <si>
    <t>как называется эта операция в комбинаторике?</t>
  </si>
  <si>
    <t>Комбинации из трёх элементов с повторениями</t>
  </si>
  <si>
    <t>от настоящего V</t>
  </si>
  <si>
    <t>1-2-4-5-6-8</t>
  </si>
  <si>
    <t xml:space="preserve">   </t>
  </si>
  <si>
    <t>запишем производгые функции формы в локльных координатах</t>
  </si>
  <si>
    <t>подставляем значение точки в лок координтаъ</t>
  </si>
  <si>
    <t>находим мвтрицу J и обратную ей</t>
  </si>
  <si>
    <t>найдем значение произв a форм в лок точке</t>
  </si>
  <si>
    <t>одна точка</t>
  </si>
  <si>
    <t>BT*B*det[J]*коэы</t>
  </si>
  <si>
    <t>производные функции формы dNi/dξ, dNi/dη</t>
  </si>
  <si>
    <t>dNi/dξ, dNi/dη</t>
  </si>
  <si>
    <t>dN1/dx</t>
  </si>
  <si>
    <t>dN1/dy</t>
  </si>
  <si>
    <t>дельта</t>
  </si>
  <si>
    <t>точку из лок в глобальные</t>
  </si>
  <si>
    <t>N</t>
  </si>
  <si>
    <t>I</t>
  </si>
  <si>
    <t>M</t>
  </si>
  <si>
    <t>три точки интегрирования</t>
  </si>
  <si>
    <t>с</t>
  </si>
  <si>
    <t>S</t>
  </si>
  <si>
    <t>Rm</t>
  </si>
  <si>
    <t>ri</t>
  </si>
  <si>
    <t>rj</t>
  </si>
  <si>
    <t>rk</t>
  </si>
  <si>
    <t>формула 3,58 стр 68 Шабров</t>
  </si>
  <si>
    <t>11,15 стр 204 Сигерлинд</t>
  </si>
  <si>
    <t>2pi*Rm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</si>
</sst>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"/>
    <numFmt numFmtId="165" formatCode="0.000000"/>
    <numFmt numFmtId="166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0"/>
      <color rgb="FF5F1AB2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</cellStyleXfs>
  <cellXfs count="88">
    <xf numFmtId="0" fontId="0" fillId="0" borderId="0" xfId="0"/>
    <xf numFmtId="16" fontId="0" fillId="0" borderId="0" xfId="0" applyNumberFormat="1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164" fontId="0" fillId="0" borderId="0" xfId="0" applyNumberFormat="1"/>
    <xf numFmtId="164" fontId="1" fillId="0" borderId="0" xfId="0" applyNumberFormat="1" applyFont="1"/>
    <xf numFmtId="0" fontId="0" fillId="0" borderId="0" xfId="0" applyNumberFormat="1"/>
    <xf numFmtId="0" fontId="0" fillId="3" borderId="0" xfId="0" applyFill="1"/>
    <xf numFmtId="0" fontId="2" fillId="0" borderId="0" xfId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0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Border="1"/>
    <xf numFmtId="0" fontId="1" fillId="0" borderId="10" xfId="0" applyFont="1" applyBorder="1"/>
    <xf numFmtId="0" fontId="0" fillId="0" borderId="11" xfId="0" applyBorder="1"/>
    <xf numFmtId="0" fontId="0" fillId="2" borderId="3" xfId="0" applyFill="1" applyBorder="1"/>
    <xf numFmtId="0" fontId="0" fillId="2" borderId="5" xfId="0" applyFill="1" applyBorder="1"/>
    <xf numFmtId="0" fontId="0" fillId="2" borderId="8" xfId="0" applyFill="1" applyBorder="1"/>
    <xf numFmtId="164" fontId="0" fillId="3" borderId="0" xfId="0" applyNumberFormat="1" applyFill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3" fillId="0" borderId="0" xfId="0" applyFont="1"/>
    <xf numFmtId="0" fontId="3" fillId="0" borderId="0" xfId="0" applyFont="1" applyFill="1" applyBorder="1"/>
    <xf numFmtId="0" fontId="4" fillId="0" borderId="4" xfId="0" applyFont="1" applyFill="1" applyBorder="1"/>
    <xf numFmtId="0" fontId="4" fillId="0" borderId="0" xfId="0" applyFont="1" applyFill="1" applyBorder="1"/>
    <xf numFmtId="0" fontId="4" fillId="0" borderId="5" xfId="0" applyFont="1" applyFill="1" applyBorder="1"/>
    <xf numFmtId="0" fontId="4" fillId="0" borderId="6" xfId="0" applyFont="1" applyFill="1" applyBorder="1"/>
    <xf numFmtId="0" fontId="4" fillId="0" borderId="7" xfId="0" applyFont="1" applyFill="1" applyBorder="1"/>
    <xf numFmtId="0" fontId="4" fillId="0" borderId="8" xfId="0" applyFont="1" applyFill="1" applyBorder="1"/>
    <xf numFmtId="0" fontId="5" fillId="0" borderId="0" xfId="0" applyFont="1" applyAlignment="1">
      <alignment wrapText="1"/>
    </xf>
    <xf numFmtId="0" fontId="6" fillId="4" borderId="1" xfId="2" applyBorder="1"/>
    <xf numFmtId="0" fontId="6" fillId="4" borderId="2" xfId="2" applyBorder="1"/>
    <xf numFmtId="0" fontId="6" fillId="4" borderId="3" xfId="2" applyBorder="1"/>
    <xf numFmtId="0" fontId="6" fillId="4" borderId="4" xfId="2" applyBorder="1"/>
    <xf numFmtId="0" fontId="6" fillId="4" borderId="0" xfId="2" applyBorder="1"/>
    <xf numFmtId="0" fontId="6" fillId="4" borderId="5" xfId="2" applyBorder="1"/>
    <xf numFmtId="0" fontId="6" fillId="4" borderId="6" xfId="2" applyBorder="1"/>
    <xf numFmtId="0" fontId="6" fillId="4" borderId="7" xfId="2" applyBorder="1"/>
    <xf numFmtId="0" fontId="6" fillId="4" borderId="8" xfId="2" applyBorder="1"/>
    <xf numFmtId="0" fontId="6" fillId="4" borderId="0" xfId="2"/>
    <xf numFmtId="0" fontId="8" fillId="6" borderId="0" xfId="4"/>
    <xf numFmtId="0" fontId="7" fillId="5" borderId="0" xfId="3"/>
    <xf numFmtId="164" fontId="6" fillId="4" borderId="0" xfId="2" applyNumberFormat="1"/>
    <xf numFmtId="0" fontId="0" fillId="7" borderId="0" xfId="0" applyFill="1"/>
    <xf numFmtId="0" fontId="9" fillId="0" borderId="0" xfId="0" applyFont="1"/>
    <xf numFmtId="0" fontId="0" fillId="8" borderId="0" xfId="0" applyFill="1"/>
    <xf numFmtId="165" fontId="0" fillId="0" borderId="1" xfId="0" applyNumberFormat="1" applyBorder="1"/>
    <xf numFmtId="165" fontId="0" fillId="0" borderId="4" xfId="0" applyNumberFormat="1" applyBorder="1"/>
    <xf numFmtId="165" fontId="0" fillId="0" borderId="6" xfId="0" applyNumberFormat="1" applyBorder="1"/>
    <xf numFmtId="165" fontId="0" fillId="0" borderId="0" xfId="0" applyNumberFormat="1"/>
    <xf numFmtId="0" fontId="0" fillId="0" borderId="0" xfId="0" applyFill="1"/>
    <xf numFmtId="0" fontId="10" fillId="0" borderId="0" xfId="0" applyFont="1" applyAlignment="1">
      <alignment horizontal="left" vertical="center"/>
    </xf>
    <xf numFmtId="14" fontId="0" fillId="0" borderId="0" xfId="0" applyNumberFormat="1"/>
    <xf numFmtId="165" fontId="0" fillId="0" borderId="2" xfId="0" applyNumberFormat="1" applyBorder="1"/>
    <xf numFmtId="165" fontId="0" fillId="0" borderId="3" xfId="0" applyNumberFormat="1" applyBorder="1"/>
    <xf numFmtId="165" fontId="0" fillId="0" borderId="0" xfId="0" applyNumberFormat="1" applyBorder="1"/>
    <xf numFmtId="165" fontId="0" fillId="0" borderId="5" xfId="0" applyNumberFormat="1" applyBorder="1"/>
    <xf numFmtId="165" fontId="0" fillId="0" borderId="7" xfId="0" applyNumberFormat="1" applyBorder="1"/>
    <xf numFmtId="165" fontId="0" fillId="0" borderId="8" xfId="0" applyNumberFormat="1" applyBorder="1"/>
    <xf numFmtId="165" fontId="0" fillId="0" borderId="3" xfId="0" applyNumberFormat="1" applyFill="1" applyBorder="1"/>
    <xf numFmtId="166" fontId="0" fillId="0" borderId="0" xfId="0" applyNumberFormat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9" borderId="0" xfId="0" applyFill="1"/>
  </cellXfs>
  <cellStyles count="5">
    <cellStyle name="Гиперссылка" xfId="1" builtinId="8"/>
    <cellStyle name="Нейтральный" xfId="4" builtinId="28"/>
    <cellStyle name="Обычный" xfId="0" builtinId="0"/>
    <cellStyle name="Плохой" xfId="3" builtinId="27"/>
    <cellStyle name="Хороший" xfId="2" builtinId="26"/>
  </cellStyles>
  <dxfs count="1">
    <dxf>
      <fill>
        <patternFill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tmp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tmp"/><Relationship Id="rId1" Type="http://schemas.openxmlformats.org/officeDocument/2006/relationships/image" Target="../media/image5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tmp"/><Relationship Id="rId1" Type="http://schemas.openxmlformats.org/officeDocument/2006/relationships/image" Target="../media/image7.tmp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mp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tmp"/><Relationship Id="rId2" Type="http://schemas.openxmlformats.org/officeDocument/2006/relationships/image" Target="../media/image9.tmp"/><Relationship Id="rId1" Type="http://schemas.openxmlformats.org/officeDocument/2006/relationships/image" Target="../media/image7.tmp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tmp"/><Relationship Id="rId1" Type="http://schemas.openxmlformats.org/officeDocument/2006/relationships/image" Target="../media/image7.tmp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tmp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jpeg"/><Relationship Id="rId2" Type="http://schemas.openxmlformats.org/officeDocument/2006/relationships/image" Target="../media/image12.tmp"/><Relationship Id="rId1" Type="http://schemas.openxmlformats.org/officeDocument/2006/relationships/image" Target="../media/image11.tmp"/><Relationship Id="rId4" Type="http://schemas.openxmlformats.org/officeDocument/2006/relationships/image" Target="../media/image14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12</xdr:col>
      <xdr:colOff>312420</xdr:colOff>
      <xdr:row>15</xdr:row>
      <xdr:rowOff>115253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76800" y="182880"/>
          <a:ext cx="2750820" cy="26670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47625</xdr:rowOff>
    </xdr:from>
    <xdr:to>
      <xdr:col>3</xdr:col>
      <xdr:colOff>205739</xdr:colOff>
      <xdr:row>23</xdr:row>
      <xdr:rowOff>116205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24200"/>
          <a:ext cx="2034539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25</xdr:row>
      <xdr:rowOff>66675</xdr:rowOff>
    </xdr:from>
    <xdr:to>
      <xdr:col>11</xdr:col>
      <xdr:colOff>229641</xdr:colOff>
      <xdr:row>54</xdr:row>
      <xdr:rowOff>19813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4591050"/>
          <a:ext cx="7525791" cy="5201413"/>
        </a:xfrm>
        <a:prstGeom prst="rect">
          <a:avLst/>
        </a:prstGeom>
      </xdr:spPr>
    </xdr:pic>
    <xdr:clientData/>
  </xdr:twoCellAnchor>
  <xdr:twoCellAnchor editAs="oneCell">
    <xdr:from>
      <xdr:col>12</xdr:col>
      <xdr:colOff>28575</xdr:colOff>
      <xdr:row>25</xdr:row>
      <xdr:rowOff>76200</xdr:rowOff>
    </xdr:from>
    <xdr:to>
      <xdr:col>23</xdr:col>
      <xdr:colOff>179547</xdr:colOff>
      <xdr:row>57</xdr:row>
      <xdr:rowOff>29418</xdr:rowOff>
    </xdr:to>
    <xdr:pic>
      <xdr:nvPicPr>
        <xdr:cNvPr id="8" name="Рисунок 7" descr="Вырезка экрана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43850" y="4600575"/>
          <a:ext cx="6856572" cy="57444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165</xdr:row>
      <xdr:rowOff>66675</xdr:rowOff>
    </xdr:from>
    <xdr:to>
      <xdr:col>6</xdr:col>
      <xdr:colOff>155849</xdr:colOff>
      <xdr:row>178</xdr:row>
      <xdr:rowOff>161925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1050" y="30622875"/>
          <a:ext cx="3394349" cy="2447925"/>
        </a:xfrm>
        <a:prstGeom prst="rect">
          <a:avLst/>
        </a:prstGeom>
      </xdr:spPr>
    </xdr:pic>
    <xdr:clientData/>
  </xdr:twoCellAnchor>
  <xdr:twoCellAnchor editAs="oneCell">
    <xdr:from>
      <xdr:col>10</xdr:col>
      <xdr:colOff>238125</xdr:colOff>
      <xdr:row>0</xdr:row>
      <xdr:rowOff>0</xdr:rowOff>
    </xdr:from>
    <xdr:to>
      <xdr:col>19</xdr:col>
      <xdr:colOff>29354</xdr:colOff>
      <xdr:row>11</xdr:row>
      <xdr:rowOff>65910</xdr:rowOff>
    </xdr:to>
    <xdr:pic>
      <xdr:nvPicPr>
        <xdr:cNvPr id="5" name="Рисунок 4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975" y="0"/>
          <a:ext cx="5582429" cy="2056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594361</xdr:colOff>
      <xdr:row>2</xdr:row>
      <xdr:rowOff>60960</xdr:rowOff>
    </xdr:from>
    <xdr:to>
      <xdr:col>12</xdr:col>
      <xdr:colOff>114301</xdr:colOff>
      <xdr:row>17</xdr:row>
      <xdr:rowOff>10033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1961" y="426720"/>
          <a:ext cx="3177540" cy="2920873"/>
        </a:xfrm>
        <a:prstGeom prst="rect">
          <a:avLst/>
        </a:prstGeom>
      </xdr:spPr>
    </xdr:pic>
    <xdr:clientData/>
  </xdr:twoCellAnchor>
  <xdr:twoCellAnchor editAs="oneCell">
    <xdr:from>
      <xdr:col>12</xdr:col>
      <xdr:colOff>563880</xdr:colOff>
      <xdr:row>11</xdr:row>
      <xdr:rowOff>22860</xdr:rowOff>
    </xdr:from>
    <xdr:to>
      <xdr:col>20</xdr:col>
      <xdr:colOff>558943</xdr:colOff>
      <xdr:row>15</xdr:row>
      <xdr:rowOff>135377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0540" y="2278380"/>
          <a:ext cx="5572903" cy="8440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0</xdr:row>
      <xdr:rowOff>9525</xdr:rowOff>
    </xdr:from>
    <xdr:to>
      <xdr:col>18</xdr:col>
      <xdr:colOff>596832</xdr:colOff>
      <xdr:row>11</xdr:row>
      <xdr:rowOff>13840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3230" y="192405"/>
          <a:ext cx="5568882" cy="201599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6</xdr:row>
      <xdr:rowOff>0</xdr:rowOff>
    </xdr:from>
    <xdr:to>
      <xdr:col>9</xdr:col>
      <xdr:colOff>129540</xdr:colOff>
      <xdr:row>21</xdr:row>
      <xdr:rowOff>139573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8400" y="1104900"/>
          <a:ext cx="3177540" cy="2920873"/>
        </a:xfrm>
        <a:prstGeom prst="rect">
          <a:avLst/>
        </a:prstGeom>
      </xdr:spPr>
    </xdr:pic>
    <xdr:clientData/>
  </xdr:twoCellAnchor>
  <xdr:twoCellAnchor editAs="oneCell">
    <xdr:from>
      <xdr:col>14</xdr:col>
      <xdr:colOff>548640</xdr:colOff>
      <xdr:row>17</xdr:row>
      <xdr:rowOff>83820</xdr:rowOff>
    </xdr:from>
    <xdr:to>
      <xdr:col>21</xdr:col>
      <xdr:colOff>851939</xdr:colOff>
      <xdr:row>22</xdr:row>
      <xdr:rowOff>76279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3040" y="3208020"/>
          <a:ext cx="4663844" cy="9068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28575</xdr:rowOff>
    </xdr:from>
    <xdr:to>
      <xdr:col>7</xdr:col>
      <xdr:colOff>352425</xdr:colOff>
      <xdr:row>45</xdr:row>
      <xdr:rowOff>88877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43675"/>
          <a:ext cx="4619625" cy="21653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281940</xdr:colOff>
      <xdr:row>0</xdr:row>
      <xdr:rowOff>121920</xdr:rowOff>
    </xdr:from>
    <xdr:to>
      <xdr:col>9</xdr:col>
      <xdr:colOff>411480</xdr:colOff>
      <xdr:row>16</xdr:row>
      <xdr:rowOff>23368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0340" y="121920"/>
          <a:ext cx="3177540" cy="2918968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19</xdr:col>
      <xdr:colOff>86503</xdr:colOff>
      <xdr:row>6</xdr:row>
      <xdr:rowOff>36317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390525"/>
          <a:ext cx="5572903" cy="87642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19050</xdr:colOff>
      <xdr:row>1</xdr:row>
      <xdr:rowOff>9525</xdr:rowOff>
    </xdr:from>
    <xdr:to>
      <xdr:col>18</xdr:col>
      <xdr:colOff>208212</xdr:colOff>
      <xdr:row>11</xdr:row>
      <xdr:rowOff>135760</xdr:rowOff>
    </xdr:to>
    <xdr:pic>
      <xdr:nvPicPr>
        <xdr:cNvPr id="2" name="Рисунок 1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15050" y="200025"/>
          <a:ext cx="5582429" cy="210531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53340</xdr:colOff>
      <xdr:row>34</xdr:row>
      <xdr:rowOff>141472</xdr:rowOff>
    </xdr:from>
    <xdr:to>
      <xdr:col>32</xdr:col>
      <xdr:colOff>458285</xdr:colOff>
      <xdr:row>52</xdr:row>
      <xdr:rowOff>127237</xdr:rowOff>
    </xdr:to>
    <xdr:pic>
      <xdr:nvPicPr>
        <xdr:cNvPr id="3" name="Рисунок 2" descr="Вырезка экрана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5740" y="7654792"/>
          <a:ext cx="8329745" cy="3300465"/>
        </a:xfrm>
        <a:prstGeom prst="rect">
          <a:avLst/>
        </a:prstGeom>
      </xdr:spPr>
    </xdr:pic>
    <xdr:clientData/>
  </xdr:twoCellAnchor>
  <xdr:twoCellAnchor editAs="oneCell">
    <xdr:from>
      <xdr:col>0</xdr:col>
      <xdr:colOff>552450</xdr:colOff>
      <xdr:row>10</xdr:row>
      <xdr:rowOff>161925</xdr:rowOff>
    </xdr:from>
    <xdr:to>
      <xdr:col>11</xdr:col>
      <xdr:colOff>179619</xdr:colOff>
      <xdr:row>13</xdr:row>
      <xdr:rowOff>95292</xdr:rowOff>
    </xdr:to>
    <xdr:pic>
      <xdr:nvPicPr>
        <xdr:cNvPr id="4" name="Рисунок 3" descr="Вырезка экрана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" y="2066925"/>
          <a:ext cx="6332769" cy="50486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6</xdr:col>
      <xdr:colOff>533399</xdr:colOff>
      <xdr:row>22</xdr:row>
      <xdr:rowOff>63483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048000"/>
          <a:ext cx="3581399" cy="120648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10</xdr:col>
      <xdr:colOff>152399</xdr:colOff>
      <xdr:row>23</xdr:row>
      <xdr:rowOff>156114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67200" y="3048000"/>
          <a:ext cx="1981199" cy="148961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472440</xdr:colOff>
      <xdr:row>0</xdr:row>
      <xdr:rowOff>0</xdr:rowOff>
    </xdr:from>
    <xdr:to>
      <xdr:col>13</xdr:col>
      <xdr:colOff>419100</xdr:colOff>
      <xdr:row>8</xdr:row>
      <xdr:rowOff>92339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10840" y="0"/>
          <a:ext cx="5433060" cy="15706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emestr.online/web/pyramid.ph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11"/>
  <sheetViews>
    <sheetView workbookViewId="0">
      <selection activeCell="A10" sqref="A10"/>
    </sheetView>
  </sheetViews>
  <sheetFormatPr defaultRowHeight="14.4" x14ac:dyDescent="0.3"/>
  <sheetData>
    <row r="5" spans="1:2" x14ac:dyDescent="0.3">
      <c r="B5" s="1"/>
    </row>
    <row r="10" spans="1:2" x14ac:dyDescent="0.3">
      <c r="A10" s="17" t="s">
        <v>20</v>
      </c>
    </row>
    <row r="11" spans="1:2" x14ac:dyDescent="0.3">
      <c r="A11" t="s">
        <v>21</v>
      </c>
    </row>
  </sheetData>
  <hyperlinks>
    <hyperlink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"/>
  <sheetViews>
    <sheetView topLeftCell="A67" zoomScale="80" zoomScaleNormal="80" workbookViewId="0">
      <selection activeCell="H99" sqref="H99"/>
    </sheetView>
  </sheetViews>
  <sheetFormatPr defaultRowHeight="14.4" x14ac:dyDescent="0.3"/>
  <cols>
    <col min="6" max="6" width="12.88671875" customWidth="1"/>
    <col min="8" max="8" width="13.6640625" bestFit="1" customWidth="1"/>
  </cols>
  <sheetData>
    <row r="1" spans="1:5" x14ac:dyDescent="0.3">
      <c r="A1" t="s">
        <v>22</v>
      </c>
    </row>
    <row r="3" spans="1:5" x14ac:dyDescent="0.3">
      <c r="A3" t="s">
        <v>23</v>
      </c>
      <c r="B3" s="16" t="s">
        <v>0</v>
      </c>
      <c r="C3" s="16" t="s">
        <v>1</v>
      </c>
      <c r="D3" s="16" t="s">
        <v>2</v>
      </c>
    </row>
    <row r="4" spans="1:5" x14ac:dyDescent="0.3">
      <c r="A4" s="16">
        <v>1</v>
      </c>
      <c r="B4" s="22">
        <v>0</v>
      </c>
      <c r="C4" s="22">
        <v>0</v>
      </c>
      <c r="D4" s="22">
        <v>0</v>
      </c>
    </row>
    <row r="5" spans="1:5" x14ac:dyDescent="0.3">
      <c r="A5" s="16">
        <v>2</v>
      </c>
      <c r="B5" s="22">
        <v>12</v>
      </c>
      <c r="C5" s="22">
        <v>0</v>
      </c>
      <c r="D5" s="22">
        <v>0</v>
      </c>
    </row>
    <row r="6" spans="1:5" x14ac:dyDescent="0.3">
      <c r="A6" s="16">
        <v>3</v>
      </c>
      <c r="B6" s="22">
        <v>10</v>
      </c>
      <c r="C6" s="22">
        <v>10</v>
      </c>
      <c r="D6" s="22">
        <v>0</v>
      </c>
    </row>
    <row r="7" spans="1:5" x14ac:dyDescent="0.3">
      <c r="A7" s="16">
        <v>4</v>
      </c>
      <c r="B7" s="22">
        <v>0</v>
      </c>
      <c r="C7" s="22">
        <v>10</v>
      </c>
      <c r="D7" s="22">
        <v>0</v>
      </c>
      <c r="E7" s="12"/>
    </row>
    <row r="8" spans="1:5" x14ac:dyDescent="0.3">
      <c r="A8" s="16">
        <v>5</v>
      </c>
      <c r="B8" s="22">
        <v>0</v>
      </c>
      <c r="C8" s="22">
        <v>0</v>
      </c>
      <c r="D8" s="22">
        <v>12</v>
      </c>
      <c r="E8" s="12"/>
    </row>
    <row r="9" spans="1:5" x14ac:dyDescent="0.3">
      <c r="A9" s="16">
        <v>6</v>
      </c>
      <c r="B9" s="22">
        <v>10</v>
      </c>
      <c r="C9" s="22">
        <v>0</v>
      </c>
      <c r="D9" s="22">
        <v>10</v>
      </c>
      <c r="E9" s="12"/>
    </row>
    <row r="10" spans="1:5" x14ac:dyDescent="0.3">
      <c r="A10" s="16">
        <v>7</v>
      </c>
      <c r="B10" s="22">
        <v>10</v>
      </c>
      <c r="C10" s="22">
        <v>10</v>
      </c>
      <c r="D10" s="22">
        <v>7</v>
      </c>
      <c r="E10" s="12"/>
    </row>
    <row r="11" spans="1:5" x14ac:dyDescent="0.3">
      <c r="A11" s="16">
        <v>8</v>
      </c>
      <c r="B11" s="22">
        <v>0</v>
      </c>
      <c r="C11" s="22">
        <v>10</v>
      </c>
      <c r="D11" s="22">
        <v>10</v>
      </c>
      <c r="E11" s="12"/>
    </row>
    <row r="12" spans="1:5" x14ac:dyDescent="0.3">
      <c r="B12" s="12"/>
      <c r="C12" s="12"/>
      <c r="D12" s="12"/>
      <c r="E12" s="12"/>
    </row>
    <row r="13" spans="1:5" x14ac:dyDescent="0.3">
      <c r="B13" s="12"/>
      <c r="C13" s="12"/>
      <c r="D13" s="12"/>
      <c r="E13" s="12"/>
    </row>
    <row r="14" spans="1:5" x14ac:dyDescent="0.3">
      <c r="A14" t="s">
        <v>3</v>
      </c>
    </row>
    <row r="16" spans="1:5" x14ac:dyDescent="0.3">
      <c r="A16" t="s">
        <v>4</v>
      </c>
    </row>
    <row r="57" spans="1:21" x14ac:dyDescent="0.3">
      <c r="B57" t="s">
        <v>112</v>
      </c>
    </row>
    <row r="59" spans="1:21" x14ac:dyDescent="0.3">
      <c r="A59" t="s">
        <v>5</v>
      </c>
      <c r="N59" s="12" t="s">
        <v>6</v>
      </c>
    </row>
    <row r="60" spans="1:21" ht="15" thickBot="1" x14ac:dyDescent="0.35">
      <c r="A60" t="s">
        <v>36</v>
      </c>
      <c r="H60" t="s">
        <v>35</v>
      </c>
    </row>
    <row r="61" spans="1:21" x14ac:dyDescent="0.3">
      <c r="A61">
        <v>5</v>
      </c>
      <c r="B61" s="18">
        <f>B8</f>
        <v>0</v>
      </c>
      <c r="C61" s="19">
        <f>C8</f>
        <v>0</v>
      </c>
      <c r="D61" s="19">
        <f>D8</f>
        <v>12</v>
      </c>
      <c r="E61" s="5">
        <v>1</v>
      </c>
      <c r="G61">
        <f>MDETERM(B61:E64)</f>
        <v>-960.00000000000011</v>
      </c>
      <c r="H61" s="16">
        <f>ABS(G61/6)</f>
        <v>160.00000000000003</v>
      </c>
      <c r="N61">
        <v>5</v>
      </c>
      <c r="O61" s="3">
        <f t="shared" ref="O61:Q63" si="0">B8</f>
        <v>0</v>
      </c>
      <c r="P61" s="4">
        <f t="shared" si="0"/>
        <v>0</v>
      </c>
      <c r="Q61" s="4">
        <f t="shared" si="0"/>
        <v>12</v>
      </c>
      <c r="R61" s="5">
        <v>1</v>
      </c>
      <c r="T61">
        <f>MDETERM(O61:R64)</f>
        <v>960.00000000000011</v>
      </c>
      <c r="U61">
        <f>ABS(T61/6)</f>
        <v>160.00000000000003</v>
      </c>
    </row>
    <row r="62" spans="1:21" x14ac:dyDescent="0.3">
      <c r="A62">
        <v>7</v>
      </c>
      <c r="B62" s="6">
        <f>B10</f>
        <v>10</v>
      </c>
      <c r="C62" s="7">
        <f>C10</f>
        <v>10</v>
      </c>
      <c r="D62" s="7">
        <f>D10</f>
        <v>7</v>
      </c>
      <c r="E62" s="8">
        <v>1</v>
      </c>
      <c r="N62">
        <v>6</v>
      </c>
      <c r="O62" s="6">
        <f t="shared" si="0"/>
        <v>10</v>
      </c>
      <c r="P62" s="7">
        <f t="shared" si="0"/>
        <v>0</v>
      </c>
      <c r="Q62" s="7">
        <f t="shared" si="0"/>
        <v>10</v>
      </c>
      <c r="R62" s="8">
        <v>1</v>
      </c>
    </row>
    <row r="63" spans="1:21" x14ac:dyDescent="0.3">
      <c r="A63">
        <v>6</v>
      </c>
      <c r="B63" s="6">
        <f>B9</f>
        <v>10</v>
      </c>
      <c r="C63" s="7">
        <f>C9</f>
        <v>0</v>
      </c>
      <c r="D63" s="7">
        <f>D9</f>
        <v>10</v>
      </c>
      <c r="E63" s="8">
        <v>1</v>
      </c>
      <c r="N63">
        <v>7</v>
      </c>
      <c r="O63" s="6">
        <f t="shared" si="0"/>
        <v>10</v>
      </c>
      <c r="P63" s="7">
        <f t="shared" si="0"/>
        <v>10</v>
      </c>
      <c r="Q63" s="7">
        <f t="shared" si="0"/>
        <v>7</v>
      </c>
      <c r="R63" s="8">
        <v>1</v>
      </c>
    </row>
    <row r="64" spans="1:21" ht="15" thickBot="1" x14ac:dyDescent="0.35">
      <c r="A64">
        <v>2</v>
      </c>
      <c r="B64" s="24">
        <f>B5</f>
        <v>12</v>
      </c>
      <c r="C64" s="25">
        <f>C5</f>
        <v>0</v>
      </c>
      <c r="D64" s="25">
        <f>D5</f>
        <v>0</v>
      </c>
      <c r="E64" s="11">
        <v>1</v>
      </c>
      <c r="N64">
        <v>2</v>
      </c>
      <c r="O64" s="9">
        <f>B5</f>
        <v>12</v>
      </c>
      <c r="P64" s="10">
        <f>C5</f>
        <v>0</v>
      </c>
      <c r="Q64" s="10">
        <f>D5</f>
        <v>0</v>
      </c>
      <c r="R64" s="11">
        <v>1</v>
      </c>
    </row>
    <row r="66" spans="1:22" ht="15" thickBot="1" x14ac:dyDescent="0.35"/>
    <row r="67" spans="1:22" x14ac:dyDescent="0.3">
      <c r="A67">
        <v>5</v>
      </c>
      <c r="B67" s="18">
        <f>B8</f>
        <v>0</v>
      </c>
      <c r="C67" s="19">
        <f>C8</f>
        <v>0</v>
      </c>
      <c r="D67" s="19">
        <f>D8</f>
        <v>12</v>
      </c>
      <c r="E67" s="30">
        <v>1</v>
      </c>
      <c r="F67" s="12"/>
      <c r="G67">
        <f>MDETERM(B67:E70)</f>
        <v>1440</v>
      </c>
      <c r="H67" s="16">
        <f>ABS(G67/6)</f>
        <v>240</v>
      </c>
      <c r="N67">
        <v>5</v>
      </c>
      <c r="O67" s="3">
        <f>B8</f>
        <v>0</v>
      </c>
      <c r="P67" s="4">
        <f>C8</f>
        <v>0</v>
      </c>
      <c r="Q67" s="4">
        <f>D8</f>
        <v>12</v>
      </c>
      <c r="R67" s="5">
        <v>1</v>
      </c>
      <c r="T67">
        <f>MDETERM(O67:R70)</f>
        <v>1440</v>
      </c>
      <c r="U67">
        <f>ABS(T67/6)</f>
        <v>240</v>
      </c>
    </row>
    <row r="68" spans="1:22" x14ac:dyDescent="0.3">
      <c r="A68">
        <v>2</v>
      </c>
      <c r="B68" s="21">
        <f t="shared" ref="B68:D69" si="1">B5</f>
        <v>12</v>
      </c>
      <c r="C68" s="22">
        <f t="shared" si="1"/>
        <v>0</v>
      </c>
      <c r="D68" s="22">
        <f t="shared" si="1"/>
        <v>0</v>
      </c>
      <c r="E68" s="31">
        <v>1</v>
      </c>
      <c r="F68" s="12"/>
      <c r="N68">
        <v>2</v>
      </c>
      <c r="O68" s="6">
        <f>B5</f>
        <v>12</v>
      </c>
      <c r="P68" s="7">
        <f>C5</f>
        <v>0</v>
      </c>
      <c r="Q68" s="7">
        <f>D5</f>
        <v>0</v>
      </c>
      <c r="R68" s="8">
        <v>1</v>
      </c>
    </row>
    <row r="69" spans="1:22" x14ac:dyDescent="0.3">
      <c r="A69">
        <v>3</v>
      </c>
      <c r="B69" s="21">
        <f t="shared" si="1"/>
        <v>10</v>
      </c>
      <c r="C69" s="22">
        <f t="shared" si="1"/>
        <v>10</v>
      </c>
      <c r="D69" s="22">
        <f t="shared" si="1"/>
        <v>0</v>
      </c>
      <c r="E69" s="31">
        <v>1</v>
      </c>
      <c r="F69" s="12"/>
      <c r="L69" t="s">
        <v>7</v>
      </c>
      <c r="N69">
        <v>4</v>
      </c>
      <c r="O69" s="6">
        <f>B7</f>
        <v>0</v>
      </c>
      <c r="P69" s="7">
        <f>C7</f>
        <v>10</v>
      </c>
      <c r="Q69" s="7">
        <f>D7</f>
        <v>0</v>
      </c>
      <c r="R69" s="8">
        <v>1</v>
      </c>
    </row>
    <row r="70" spans="1:22" ht="15" thickBot="1" x14ac:dyDescent="0.35">
      <c r="A70">
        <v>1</v>
      </c>
      <c r="B70" s="24">
        <f>B4</f>
        <v>0</v>
      </c>
      <c r="C70" s="25">
        <f>C4</f>
        <v>0</v>
      </c>
      <c r="D70" s="25">
        <f>D4</f>
        <v>0</v>
      </c>
      <c r="E70" s="32">
        <v>1</v>
      </c>
      <c r="F70" s="12"/>
      <c r="N70">
        <v>1</v>
      </c>
      <c r="O70" s="9">
        <f>B4</f>
        <v>0</v>
      </c>
      <c r="P70" s="10">
        <f>C4</f>
        <v>0</v>
      </c>
      <c r="Q70" s="10">
        <f>D4</f>
        <v>0</v>
      </c>
      <c r="R70" s="11">
        <v>1</v>
      </c>
    </row>
    <row r="72" spans="1:22" ht="15" thickBot="1" x14ac:dyDescent="0.35"/>
    <row r="73" spans="1:22" x14ac:dyDescent="0.3">
      <c r="A73">
        <v>7</v>
      </c>
      <c r="B73" s="3">
        <f>B10</f>
        <v>10</v>
      </c>
      <c r="C73" s="4">
        <f>C10</f>
        <v>10</v>
      </c>
      <c r="D73" s="4">
        <f>D10</f>
        <v>7</v>
      </c>
      <c r="E73" s="5">
        <v>1</v>
      </c>
      <c r="G73" s="12">
        <f>MDETERM(B73:E76)</f>
        <v>840</v>
      </c>
      <c r="H73" s="16">
        <f>ABS(G73/6)</f>
        <v>140</v>
      </c>
      <c r="N73">
        <v>7</v>
      </c>
      <c r="O73" s="3">
        <f>B10</f>
        <v>10</v>
      </c>
      <c r="P73" s="4">
        <f>C10</f>
        <v>10</v>
      </c>
      <c r="Q73" s="4">
        <f>D10</f>
        <v>7</v>
      </c>
      <c r="R73" s="5">
        <v>1</v>
      </c>
      <c r="T73">
        <f>MDETERM(O73:R76)</f>
        <v>700</v>
      </c>
      <c r="U73">
        <f>ABS(T73/6)</f>
        <v>116.66666666666667</v>
      </c>
    </row>
    <row r="74" spans="1:22" x14ac:dyDescent="0.3">
      <c r="A74">
        <v>2</v>
      </c>
      <c r="B74" s="21">
        <f t="shared" ref="B74:D75" si="2">B5</f>
        <v>12</v>
      </c>
      <c r="C74" s="22">
        <f t="shared" si="2"/>
        <v>0</v>
      </c>
      <c r="D74" s="22">
        <f t="shared" si="2"/>
        <v>0</v>
      </c>
      <c r="E74" s="8">
        <v>1</v>
      </c>
      <c r="N74">
        <v>2</v>
      </c>
      <c r="O74" s="6">
        <f t="shared" ref="O74:Q76" si="3">B5</f>
        <v>12</v>
      </c>
      <c r="P74" s="7">
        <f t="shared" si="3"/>
        <v>0</v>
      </c>
      <c r="Q74" s="7">
        <f t="shared" si="3"/>
        <v>0</v>
      </c>
      <c r="R74" s="8">
        <v>1</v>
      </c>
    </row>
    <row r="75" spans="1:22" x14ac:dyDescent="0.3">
      <c r="A75">
        <v>3</v>
      </c>
      <c r="B75" s="21">
        <f t="shared" si="2"/>
        <v>10</v>
      </c>
      <c r="C75" s="22">
        <f t="shared" si="2"/>
        <v>10</v>
      </c>
      <c r="D75" s="22">
        <f t="shared" si="2"/>
        <v>0</v>
      </c>
      <c r="E75" s="8">
        <v>1</v>
      </c>
      <c r="N75">
        <v>3</v>
      </c>
      <c r="O75" s="6">
        <f t="shared" si="3"/>
        <v>10</v>
      </c>
      <c r="P75" s="7">
        <f t="shared" si="3"/>
        <v>10</v>
      </c>
      <c r="Q75" s="7">
        <f t="shared" si="3"/>
        <v>0</v>
      </c>
      <c r="R75" s="8">
        <v>1</v>
      </c>
      <c r="U75" s="12"/>
      <c r="V75" s="12"/>
    </row>
    <row r="76" spans="1:22" ht="15" thickBot="1" x14ac:dyDescent="0.35">
      <c r="A76">
        <v>5</v>
      </c>
      <c r="B76" s="24">
        <f>B8</f>
        <v>0</v>
      </c>
      <c r="C76" s="25">
        <f>C8</f>
        <v>0</v>
      </c>
      <c r="D76" s="25">
        <f>D8</f>
        <v>12</v>
      </c>
      <c r="E76" s="11">
        <v>1</v>
      </c>
      <c r="N76">
        <v>4</v>
      </c>
      <c r="O76" s="9">
        <f t="shared" si="3"/>
        <v>0</v>
      </c>
      <c r="P76" s="10">
        <f t="shared" si="3"/>
        <v>10</v>
      </c>
      <c r="Q76" s="10">
        <f t="shared" si="3"/>
        <v>0</v>
      </c>
      <c r="R76" s="11">
        <v>1</v>
      </c>
      <c r="U76" s="12"/>
      <c r="V76" s="12"/>
    </row>
    <row r="77" spans="1:22" x14ac:dyDescent="0.3">
      <c r="U77" s="12"/>
      <c r="V77" s="12"/>
    </row>
    <row r="78" spans="1:22" ht="15" thickBot="1" x14ac:dyDescent="0.35">
      <c r="U78" s="12"/>
      <c r="V78" s="12"/>
    </row>
    <row r="79" spans="1:22" x14ac:dyDescent="0.3">
      <c r="A79">
        <v>5</v>
      </c>
      <c r="B79" s="18">
        <f>B8</f>
        <v>0</v>
      </c>
      <c r="C79" s="19">
        <f>C8</f>
        <v>0</v>
      </c>
      <c r="D79" s="19">
        <f>D8</f>
        <v>12</v>
      </c>
      <c r="E79" s="5">
        <v>1</v>
      </c>
      <c r="G79">
        <f>MDETERM(B79:E82)</f>
        <v>1000</v>
      </c>
      <c r="H79" s="16">
        <f>ABS(G79/6)</f>
        <v>166.66666666666666</v>
      </c>
      <c r="N79">
        <v>5</v>
      </c>
      <c r="O79" s="3">
        <f>B8</f>
        <v>0</v>
      </c>
      <c r="P79" s="4">
        <f>C8</f>
        <v>0</v>
      </c>
      <c r="Q79" s="4">
        <f>D8</f>
        <v>12</v>
      </c>
      <c r="R79" s="5">
        <v>1</v>
      </c>
      <c r="T79">
        <f>MDETERM(O79:R82)</f>
        <v>-1000</v>
      </c>
      <c r="U79" s="12">
        <f>ABS(T79/6)</f>
        <v>166.66666666666666</v>
      </c>
      <c r="V79" s="12"/>
    </row>
    <row r="80" spans="1:22" x14ac:dyDescent="0.3">
      <c r="A80">
        <v>7</v>
      </c>
      <c r="B80" s="6">
        <f t="shared" ref="B80:D81" si="4">B10</f>
        <v>10</v>
      </c>
      <c r="C80" s="7">
        <f t="shared" si="4"/>
        <v>10</v>
      </c>
      <c r="D80" s="7">
        <f t="shared" si="4"/>
        <v>7</v>
      </c>
      <c r="E80" s="8">
        <v>1</v>
      </c>
      <c r="N80">
        <v>8</v>
      </c>
      <c r="O80" s="6">
        <f>B11</f>
        <v>0</v>
      </c>
      <c r="P80" s="7">
        <f>C11</f>
        <v>10</v>
      </c>
      <c r="Q80" s="7">
        <f>D11</f>
        <v>10</v>
      </c>
      <c r="R80" s="8">
        <v>1</v>
      </c>
      <c r="S80" s="17"/>
      <c r="U80" s="12"/>
      <c r="V80" s="12"/>
    </row>
    <row r="81" spans="1:22" x14ac:dyDescent="0.3">
      <c r="A81">
        <v>8</v>
      </c>
      <c r="B81" s="6">
        <f t="shared" si="4"/>
        <v>0</v>
      </c>
      <c r="C81" s="7">
        <f t="shared" si="4"/>
        <v>10</v>
      </c>
      <c r="D81" s="7">
        <f t="shared" si="4"/>
        <v>10</v>
      </c>
      <c r="E81" s="8">
        <v>1</v>
      </c>
      <c r="N81">
        <v>7</v>
      </c>
      <c r="O81" s="6">
        <f>B10</f>
        <v>10</v>
      </c>
      <c r="P81" s="7">
        <f>C10</f>
        <v>10</v>
      </c>
      <c r="Q81" s="7">
        <f>D10</f>
        <v>7</v>
      </c>
      <c r="R81" s="8">
        <v>1</v>
      </c>
      <c r="U81" s="12"/>
      <c r="V81" s="12"/>
    </row>
    <row r="82" spans="1:22" ht="15" thickBot="1" x14ac:dyDescent="0.35">
      <c r="A82">
        <v>4</v>
      </c>
      <c r="B82" s="9">
        <f>B7</f>
        <v>0</v>
      </c>
      <c r="C82" s="10">
        <f>C7</f>
        <v>10</v>
      </c>
      <c r="D82" s="10">
        <f>D7</f>
        <v>0</v>
      </c>
      <c r="E82" s="11">
        <v>1</v>
      </c>
      <c r="N82">
        <v>4</v>
      </c>
      <c r="O82" s="9">
        <f>B7</f>
        <v>0</v>
      </c>
      <c r="P82" s="10">
        <f>C7</f>
        <v>10</v>
      </c>
      <c r="Q82" s="10">
        <f>D7</f>
        <v>0</v>
      </c>
      <c r="R82" s="11">
        <v>1</v>
      </c>
      <c r="U82" s="12"/>
      <c r="V82" s="12"/>
    </row>
    <row r="83" spans="1:22" x14ac:dyDescent="0.3">
      <c r="U83" s="12"/>
      <c r="V83" s="12"/>
    </row>
    <row r="84" spans="1:22" ht="15" thickBot="1" x14ac:dyDescent="0.35">
      <c r="U84" s="12"/>
      <c r="V84" s="12"/>
    </row>
    <row r="85" spans="1:22" x14ac:dyDescent="0.3">
      <c r="A85">
        <v>5</v>
      </c>
      <c r="B85" s="18">
        <f>B8</f>
        <v>0</v>
      </c>
      <c r="C85" s="19">
        <f>C8</f>
        <v>0</v>
      </c>
      <c r="D85" s="19">
        <f>D8</f>
        <v>12</v>
      </c>
      <c r="E85" s="5">
        <v>1</v>
      </c>
      <c r="G85">
        <f>MDETERM(B85:E88)</f>
        <v>1200</v>
      </c>
      <c r="H85" s="16">
        <f>ABS(G85/6)</f>
        <v>200</v>
      </c>
      <c r="N85">
        <v>5</v>
      </c>
      <c r="O85" s="3">
        <f>B8</f>
        <v>0</v>
      </c>
      <c r="P85" s="4">
        <f>C8</f>
        <v>0</v>
      </c>
      <c r="Q85" s="4">
        <f>D8</f>
        <v>12</v>
      </c>
      <c r="R85" s="5">
        <v>1</v>
      </c>
      <c r="T85">
        <f>MDETERM(O85:R88)</f>
        <v>2040</v>
      </c>
      <c r="U85" s="12">
        <f>ABS(T85/6)</f>
        <v>340</v>
      </c>
      <c r="V85" s="12"/>
    </row>
    <row r="86" spans="1:22" x14ac:dyDescent="0.3">
      <c r="A86">
        <v>3</v>
      </c>
      <c r="B86" s="21">
        <f t="shared" ref="B86:D87" si="5">B6</f>
        <v>10</v>
      </c>
      <c r="C86" s="22">
        <f t="shared" si="5"/>
        <v>10</v>
      </c>
      <c r="D86" s="22">
        <f t="shared" si="5"/>
        <v>0</v>
      </c>
      <c r="E86" s="8">
        <v>1</v>
      </c>
      <c r="N86">
        <v>7</v>
      </c>
      <c r="O86" s="6">
        <f>B10</f>
        <v>10</v>
      </c>
      <c r="P86" s="7">
        <f>C10</f>
        <v>10</v>
      </c>
      <c r="Q86" s="7">
        <f>D10</f>
        <v>7</v>
      </c>
      <c r="R86" s="8">
        <v>1</v>
      </c>
      <c r="U86" s="12"/>
      <c r="V86" s="12"/>
    </row>
    <row r="87" spans="1:22" x14ac:dyDescent="0.3">
      <c r="A87">
        <v>4</v>
      </c>
      <c r="B87" s="6">
        <f t="shared" si="5"/>
        <v>0</v>
      </c>
      <c r="C87" s="7">
        <f t="shared" si="5"/>
        <v>10</v>
      </c>
      <c r="D87" s="7">
        <f t="shared" si="5"/>
        <v>0</v>
      </c>
      <c r="E87" s="8">
        <v>1</v>
      </c>
      <c r="N87">
        <v>4</v>
      </c>
      <c r="O87" s="6">
        <f>B7</f>
        <v>0</v>
      </c>
      <c r="P87" s="7">
        <f>C7</f>
        <v>10</v>
      </c>
      <c r="Q87" s="7">
        <f>D7</f>
        <v>0</v>
      </c>
      <c r="R87" s="8">
        <v>1</v>
      </c>
      <c r="U87" s="12"/>
      <c r="V87" s="12"/>
    </row>
    <row r="88" spans="1:22" ht="15" thickBot="1" x14ac:dyDescent="0.35">
      <c r="A88">
        <v>1</v>
      </c>
      <c r="B88" s="24">
        <f>B4</f>
        <v>0</v>
      </c>
      <c r="C88" s="25">
        <f>C4</f>
        <v>0</v>
      </c>
      <c r="D88" s="25">
        <f>D4</f>
        <v>0</v>
      </c>
      <c r="E88" s="11">
        <v>1</v>
      </c>
      <c r="N88">
        <v>2</v>
      </c>
      <c r="O88" s="9">
        <f>B5</f>
        <v>12</v>
      </c>
      <c r="P88" s="10">
        <f>C5</f>
        <v>0</v>
      </c>
      <c r="Q88" s="10">
        <f>D5</f>
        <v>0</v>
      </c>
      <c r="R88" s="11">
        <v>1</v>
      </c>
      <c r="U88" s="12"/>
      <c r="V88" s="12"/>
    </row>
    <row r="89" spans="1:22" x14ac:dyDescent="0.3">
      <c r="U89" s="12"/>
      <c r="V89" s="12"/>
    </row>
    <row r="90" spans="1:22" ht="15" thickBot="1" x14ac:dyDescent="0.35">
      <c r="T90" s="16" t="s">
        <v>32</v>
      </c>
      <c r="U90" s="16">
        <f>SUM(U61:U89)</f>
        <v>1023.3333333333333</v>
      </c>
      <c r="V90" s="12"/>
    </row>
    <row r="91" spans="1:22" x14ac:dyDescent="0.3">
      <c r="A91">
        <v>7</v>
      </c>
      <c r="B91" s="3">
        <f>B10</f>
        <v>10</v>
      </c>
      <c r="C91" s="4">
        <f>C10</f>
        <v>10</v>
      </c>
      <c r="D91" s="4">
        <f>D10</f>
        <v>7</v>
      </c>
      <c r="E91" s="5">
        <v>1</v>
      </c>
      <c r="G91">
        <f>MDETERM(B91:E94)</f>
        <v>700</v>
      </c>
      <c r="H91" s="16">
        <f>ABS(G91/6)</f>
        <v>116.66666666666667</v>
      </c>
      <c r="K91" t="s">
        <v>7</v>
      </c>
    </row>
    <row r="92" spans="1:22" x14ac:dyDescent="0.3">
      <c r="A92">
        <v>3</v>
      </c>
      <c r="B92" s="21">
        <f t="shared" ref="B92:D94" si="6">B6</f>
        <v>10</v>
      </c>
      <c r="C92" s="22">
        <f t="shared" si="6"/>
        <v>10</v>
      </c>
      <c r="D92" s="22">
        <f t="shared" si="6"/>
        <v>0</v>
      </c>
      <c r="E92" s="8">
        <v>1</v>
      </c>
    </row>
    <row r="93" spans="1:22" x14ac:dyDescent="0.3">
      <c r="A93">
        <v>4</v>
      </c>
      <c r="B93" s="6">
        <f t="shared" si="6"/>
        <v>0</v>
      </c>
      <c r="C93" s="7">
        <f t="shared" si="6"/>
        <v>10</v>
      </c>
      <c r="D93" s="7">
        <f t="shared" si="6"/>
        <v>0</v>
      </c>
      <c r="E93" s="8">
        <v>1</v>
      </c>
    </row>
    <row r="94" spans="1:22" ht="15" thickBot="1" x14ac:dyDescent="0.35">
      <c r="A94">
        <v>5</v>
      </c>
      <c r="B94" s="24">
        <f t="shared" si="6"/>
        <v>0</v>
      </c>
      <c r="C94" s="25">
        <f t="shared" si="6"/>
        <v>0</v>
      </c>
      <c r="D94" s="25">
        <f t="shared" si="6"/>
        <v>12</v>
      </c>
      <c r="E94" s="11">
        <v>1</v>
      </c>
    </row>
    <row r="96" spans="1:22" x14ac:dyDescent="0.3">
      <c r="G96" s="16" t="s">
        <v>32</v>
      </c>
      <c r="H96" s="16">
        <f>SUM( H61:H94)</f>
        <v>1023.3333333333333</v>
      </c>
    </row>
    <row r="98" spans="7:9" x14ac:dyDescent="0.3">
      <c r="G98" s="2" t="s">
        <v>34</v>
      </c>
      <c r="H98" s="13">
        <f>(H96-U90)*100/H96</f>
        <v>0</v>
      </c>
      <c r="I98" t="s">
        <v>38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66"/>
  <sheetViews>
    <sheetView zoomScale="80" zoomScaleNormal="80" workbookViewId="0">
      <selection activeCell="A2" sqref="A2:C4"/>
    </sheetView>
  </sheetViews>
  <sheetFormatPr defaultRowHeight="14.4" x14ac:dyDescent="0.3"/>
  <cols>
    <col min="1" max="1" width="11.109375" customWidth="1"/>
    <col min="2" max="2" width="8" customWidth="1"/>
    <col min="3" max="3" width="9.109375" bestFit="1" customWidth="1"/>
    <col min="4" max="4" width="12" customWidth="1"/>
    <col min="5" max="10" width="9.109375" bestFit="1" customWidth="1"/>
    <col min="11" max="11" width="9" bestFit="1" customWidth="1"/>
    <col min="12" max="12" width="9.109375" bestFit="1" customWidth="1"/>
    <col min="14" max="14" width="9" bestFit="1" customWidth="1"/>
    <col min="15" max="15" width="12.6640625" bestFit="1" customWidth="1"/>
    <col min="16" max="16" width="9" bestFit="1" customWidth="1"/>
    <col min="24" max="24" width="12.6640625" bestFit="1" customWidth="1"/>
    <col min="26" max="26" width="9.109375" bestFit="1" customWidth="1"/>
  </cols>
  <sheetData>
    <row r="2" spans="1:25" x14ac:dyDescent="0.3">
      <c r="B2" t="s">
        <v>11</v>
      </c>
      <c r="C2" t="s">
        <v>12</v>
      </c>
      <c r="D2" t="s">
        <v>13</v>
      </c>
      <c r="F2" t="s">
        <v>14</v>
      </c>
      <c r="H2" t="s">
        <v>15</v>
      </c>
    </row>
    <row r="3" spans="1:25" x14ac:dyDescent="0.3">
      <c r="A3">
        <v>1</v>
      </c>
      <c r="B3" s="22">
        <v>0</v>
      </c>
      <c r="C3" s="22">
        <v>0</v>
      </c>
      <c r="D3" s="22">
        <v>0</v>
      </c>
      <c r="F3">
        <f>1/8</f>
        <v>0.125</v>
      </c>
      <c r="H3">
        <v>0.57735000000000003</v>
      </c>
    </row>
    <row r="4" spans="1:25" x14ac:dyDescent="0.3">
      <c r="A4">
        <v>2</v>
      </c>
      <c r="B4" s="22">
        <v>12</v>
      </c>
      <c r="C4" s="22">
        <v>0</v>
      </c>
      <c r="D4" s="22">
        <v>0</v>
      </c>
      <c r="H4">
        <f>-H3</f>
        <v>-0.57735000000000003</v>
      </c>
    </row>
    <row r="5" spans="1:25" x14ac:dyDescent="0.3">
      <c r="A5">
        <v>3</v>
      </c>
      <c r="B5" s="22">
        <v>10</v>
      </c>
      <c r="C5" s="22">
        <v>10</v>
      </c>
      <c r="D5" s="22">
        <v>0</v>
      </c>
    </row>
    <row r="6" spans="1:25" x14ac:dyDescent="0.3">
      <c r="A6">
        <v>4</v>
      </c>
      <c r="B6" s="22">
        <v>0</v>
      </c>
      <c r="C6" s="22">
        <v>10</v>
      </c>
      <c r="D6" s="22">
        <v>0</v>
      </c>
    </row>
    <row r="7" spans="1:25" x14ac:dyDescent="0.3">
      <c r="A7">
        <v>5</v>
      </c>
      <c r="B7" s="22">
        <v>0</v>
      </c>
      <c r="C7" s="22">
        <v>0</v>
      </c>
      <c r="D7" s="22">
        <v>12</v>
      </c>
    </row>
    <row r="8" spans="1:25" x14ac:dyDescent="0.3">
      <c r="A8">
        <v>6</v>
      </c>
      <c r="B8" s="22">
        <v>10</v>
      </c>
      <c r="C8" s="22">
        <v>0</v>
      </c>
      <c r="D8" s="22">
        <v>10</v>
      </c>
    </row>
    <row r="9" spans="1:25" x14ac:dyDescent="0.3">
      <c r="A9">
        <v>7</v>
      </c>
      <c r="B9" s="22">
        <v>10</v>
      </c>
      <c r="C9" s="22">
        <v>10</v>
      </c>
      <c r="D9" s="22">
        <v>7</v>
      </c>
    </row>
    <row r="10" spans="1:25" x14ac:dyDescent="0.3">
      <c r="A10">
        <v>8</v>
      </c>
      <c r="B10" s="22">
        <v>0</v>
      </c>
      <c r="C10" s="22">
        <v>10</v>
      </c>
      <c r="D10" s="22">
        <v>10</v>
      </c>
    </row>
    <row r="12" spans="1:25" x14ac:dyDescent="0.3">
      <c r="W12" t="s">
        <v>7</v>
      </c>
    </row>
    <row r="13" spans="1:25" ht="15" thickBot="1" x14ac:dyDescent="0.35">
      <c r="A13" t="s">
        <v>27</v>
      </c>
      <c r="B13" t="s">
        <v>33</v>
      </c>
      <c r="C13" t="s">
        <v>28</v>
      </c>
      <c r="E13" t="s">
        <v>30</v>
      </c>
      <c r="N13" t="s">
        <v>31</v>
      </c>
      <c r="R13" t="s">
        <v>29</v>
      </c>
      <c r="V13" t="s">
        <v>17</v>
      </c>
      <c r="Y13" s="43"/>
    </row>
    <row r="14" spans="1:25" x14ac:dyDescent="0.3">
      <c r="A14">
        <v>1</v>
      </c>
      <c r="B14" s="2" t="s">
        <v>8</v>
      </c>
      <c r="C14">
        <v>0.57735000000000003</v>
      </c>
      <c r="E14" s="68">
        <f>-(1-C15)*(1-C16)</f>
        <v>-0.17863302249999999</v>
      </c>
      <c r="F14" s="75">
        <f>(1-C15)*(1-C16)</f>
        <v>0.17863302249999999</v>
      </c>
      <c r="G14" s="75">
        <f>(1+C15)*(1-C16)</f>
        <v>0.66666697749999992</v>
      </c>
      <c r="H14" s="75">
        <f>-(1+C15)*(1-C16)</f>
        <v>-0.66666697749999992</v>
      </c>
      <c r="I14" s="75">
        <f>-(1-C15)*(1+C16)</f>
        <v>-0.66666697749999992</v>
      </c>
      <c r="J14" s="75">
        <f>(1-C15)*(1+C16)</f>
        <v>0.66666697749999992</v>
      </c>
      <c r="K14" s="75">
        <f>(1+C15)*(1+C16)</f>
        <v>2.4880330225000002</v>
      </c>
      <c r="L14" s="76">
        <f>-(1+C15)*(1+C16)</f>
        <v>-2.4880330225000002</v>
      </c>
      <c r="N14" s="3">
        <f t="array" ref="N14:P16">MMULT(E14:L16,$B$3:$D$10)</f>
        <v>40.357266045000003</v>
      </c>
      <c r="O14" s="4">
        <v>0</v>
      </c>
      <c r="P14" s="5">
        <v>-8.7974330225000017</v>
      </c>
      <c r="R14" s="3">
        <f>$F$3*N14</f>
        <v>5.0446582556250004</v>
      </c>
      <c r="S14" s="4">
        <f t="shared" ref="S14:T16" si="0">$F$3*O14</f>
        <v>0</v>
      </c>
      <c r="T14" s="5">
        <f t="shared" si="0"/>
        <v>-1.0996791278125002</v>
      </c>
      <c r="V14">
        <f>MDETERM(R14:T16)</f>
        <v>102.79284176623742</v>
      </c>
      <c r="Y14" s="43"/>
    </row>
    <row r="15" spans="1:25" x14ac:dyDescent="0.3">
      <c r="B15" s="2" t="s">
        <v>9</v>
      </c>
      <c r="C15">
        <v>0.57735000000000003</v>
      </c>
      <c r="E15" s="69">
        <f>-(1-C14)*(1-C16)</f>
        <v>-0.17863302249999999</v>
      </c>
      <c r="F15" s="77">
        <f>-(1+C14)*(1-C16)</f>
        <v>-0.66666697749999992</v>
      </c>
      <c r="G15" s="77">
        <f>(1+C14)*(1-C16)</f>
        <v>0.66666697749999992</v>
      </c>
      <c r="H15" s="77">
        <f>(1-C14)*(1-C16)</f>
        <v>0.17863302249999999</v>
      </c>
      <c r="I15" s="77">
        <f>-(1-C14)*(1+C16)</f>
        <v>-0.66666697749999992</v>
      </c>
      <c r="J15" s="77">
        <f>-(1+C14)*(1+C16)</f>
        <v>-2.4880330225000002</v>
      </c>
      <c r="K15" s="77">
        <f>(1+C14)*(1+C16)</f>
        <v>2.4880330225000002</v>
      </c>
      <c r="L15" s="78">
        <f>(1-C14)*(1+C16)</f>
        <v>0.66666697749999992</v>
      </c>
      <c r="N15" s="6">
        <v>-1.3333339550000005</v>
      </c>
      <c r="O15" s="7">
        <v>40</v>
      </c>
      <c r="P15" s="8">
        <v>-8.7974330224999981</v>
      </c>
      <c r="R15" s="6">
        <f>$F$3*N15</f>
        <v>-0.16666674437500006</v>
      </c>
      <c r="S15" s="7">
        <f t="shared" si="0"/>
        <v>5</v>
      </c>
      <c r="T15" s="8">
        <f t="shared" si="0"/>
        <v>-1.0996791278124998</v>
      </c>
    </row>
    <row r="16" spans="1:25" ht="15" thickBot="1" x14ac:dyDescent="0.35">
      <c r="B16" s="2" t="s">
        <v>10</v>
      </c>
      <c r="C16">
        <v>0.57735000000000003</v>
      </c>
      <c r="E16" s="70">
        <f>-(1-C14)*(1-C15)</f>
        <v>-0.17863302249999999</v>
      </c>
      <c r="F16" s="79">
        <f>-(1+C14)*(1-C15)</f>
        <v>-0.66666697749999992</v>
      </c>
      <c r="G16" s="79">
        <f>-(1+C14)*(1+C15)</f>
        <v>-2.4880330225000002</v>
      </c>
      <c r="H16" s="79">
        <f>-(1-C14)*(1+C15)</f>
        <v>-0.66666697749999992</v>
      </c>
      <c r="I16" s="79">
        <f>(1-C14)*(1-C15)</f>
        <v>0.17863302249999999</v>
      </c>
      <c r="J16" s="79">
        <f>(1+C14)*(1-C15)</f>
        <v>0.66666697749999992</v>
      </c>
      <c r="K16" s="79">
        <f>(1+C14)*(1+C15)</f>
        <v>2.4880330225000002</v>
      </c>
      <c r="L16" s="80">
        <f>(1-C14)*(1+C15)</f>
        <v>0.66666697749999992</v>
      </c>
      <c r="N16" s="9">
        <v>-1.333333954999997</v>
      </c>
      <c r="O16" s="10">
        <v>0</v>
      </c>
      <c r="P16" s="11">
        <v>32.893166977500002</v>
      </c>
      <c r="R16" s="9">
        <f>$F$3*N16</f>
        <v>-0.16666674437499962</v>
      </c>
      <c r="S16" s="10">
        <f t="shared" si="0"/>
        <v>0</v>
      </c>
      <c r="T16" s="11">
        <f>$F$3*P16</f>
        <v>4.1116458721875002</v>
      </c>
    </row>
    <row r="17" spans="1:22" ht="15" thickBot="1" x14ac:dyDescent="0.35">
      <c r="E17" s="71"/>
      <c r="F17" s="71"/>
      <c r="G17" s="71"/>
      <c r="H17" s="71"/>
      <c r="I17" s="71"/>
      <c r="J17" s="71"/>
      <c r="K17" s="71"/>
      <c r="L17" s="71"/>
    </row>
    <row r="18" spans="1:22" x14ac:dyDescent="0.3">
      <c r="A18">
        <v>2</v>
      </c>
      <c r="B18" s="2" t="s">
        <v>8</v>
      </c>
      <c r="C18">
        <v>0.57735000000000003</v>
      </c>
      <c r="E18" s="68">
        <f>-(1-C19)*(1-C20)</f>
        <v>-0.66666697749999992</v>
      </c>
      <c r="F18" s="75">
        <f>(1-C19)*(1-C20)</f>
        <v>0.66666697749999992</v>
      </c>
      <c r="G18" s="75">
        <f>(1+C19)*(1-C20)</f>
        <v>2.4880330225000002</v>
      </c>
      <c r="H18" s="75">
        <f>-(1+C19)*(1-C20)</f>
        <v>-2.4880330225000002</v>
      </c>
      <c r="I18" s="75">
        <f>-(1-C19)*(1+C20)</f>
        <v>-0.17863302249999999</v>
      </c>
      <c r="J18" s="75">
        <f>(1-C19)*(1+C20)</f>
        <v>0.17863302249999999</v>
      </c>
      <c r="K18" s="75">
        <f>(1+C19)*(1+C20)</f>
        <v>0.66666697749999992</v>
      </c>
      <c r="L18" s="76">
        <f>-(1+C19)*(1+C20)</f>
        <v>-0.66666697749999992</v>
      </c>
      <c r="N18" s="3">
        <f t="array" ref="N18:P20">MMULT(E18:L20,$B$3:$D$10)</f>
        <v>41.333333955000001</v>
      </c>
      <c r="O18" s="4">
        <v>0</v>
      </c>
      <c r="P18" s="5">
        <v>-2.3572669775000001</v>
      </c>
      <c r="R18" s="3">
        <f t="shared" ref="R18:T20" si="1">$F$3*N18</f>
        <v>5.1666667443750001</v>
      </c>
      <c r="S18" s="4">
        <f t="shared" si="1"/>
        <v>0</v>
      </c>
      <c r="T18" s="5">
        <f t="shared" si="1"/>
        <v>-0.29465837218750002</v>
      </c>
      <c r="V18">
        <f>MDETERM(R18:T20)</f>
        <v>105.97197120441285</v>
      </c>
    </row>
    <row r="19" spans="1:22" x14ac:dyDescent="0.3">
      <c r="B19" s="2" t="s">
        <v>9</v>
      </c>
      <c r="C19">
        <v>0.57735000000000003</v>
      </c>
      <c r="E19" s="69">
        <f>-(1-C18)*(1-C20)</f>
        <v>-0.66666697749999992</v>
      </c>
      <c r="F19" s="77">
        <f>-(1+C18)*(1-C20)</f>
        <v>-2.4880330225000002</v>
      </c>
      <c r="G19" s="77">
        <f>(1+C18)*(1-C20)</f>
        <v>2.4880330225000002</v>
      </c>
      <c r="H19" s="77">
        <f>(1-C18)*(1-C20)</f>
        <v>0.66666697749999992</v>
      </c>
      <c r="I19" s="77">
        <f>-(1-C18)*(1+C20)</f>
        <v>-0.17863302249999999</v>
      </c>
      <c r="J19" s="77">
        <f>-(1+C18)*(1+C20)</f>
        <v>-0.66666697749999992</v>
      </c>
      <c r="K19" s="77">
        <f>(1+C18)*(1+C20)</f>
        <v>0.66666697749999992</v>
      </c>
      <c r="L19" s="78">
        <f>(1-C18)*(1+C20)</f>
        <v>0.17863302249999999</v>
      </c>
      <c r="N19" s="6">
        <v>-4.9760660450000032</v>
      </c>
      <c r="O19" s="7">
        <v>40</v>
      </c>
      <c r="P19" s="8">
        <v>-2.3572669774999997</v>
      </c>
      <c r="R19" s="6">
        <f t="shared" si="1"/>
        <v>-0.62200825562500039</v>
      </c>
      <c r="S19" s="7">
        <f t="shared" si="1"/>
        <v>5</v>
      </c>
      <c r="T19" s="8">
        <f t="shared" si="1"/>
        <v>-0.29465837218749996</v>
      </c>
    </row>
    <row r="20" spans="1:22" ht="15" thickBot="1" x14ac:dyDescent="0.35">
      <c r="B20" s="2" t="s">
        <v>10</v>
      </c>
      <c r="C20">
        <v>-0.57735000000000003</v>
      </c>
      <c r="E20" s="70">
        <f>-(1-C18)*(1-C19)</f>
        <v>-0.17863302249999999</v>
      </c>
      <c r="F20" s="79">
        <f>-(1+C18)*(1-C19)</f>
        <v>-0.66666697749999992</v>
      </c>
      <c r="G20" s="79">
        <f>-(1+C18)*(1+C19)</f>
        <v>-2.4880330225000002</v>
      </c>
      <c r="H20" s="79">
        <f>-(1-C18)*(1+C19)</f>
        <v>-0.66666697749999992</v>
      </c>
      <c r="I20" s="79">
        <f>(1-C18)*(1-C19)</f>
        <v>0.17863302249999999</v>
      </c>
      <c r="J20" s="79">
        <f>(1+C18)*(1-C19)</f>
        <v>0.66666697749999992</v>
      </c>
      <c r="K20" s="79">
        <f>(1+C18)*(1+C19)</f>
        <v>2.4880330225000002</v>
      </c>
      <c r="L20" s="80">
        <f>(1-C18)*(1+C19)</f>
        <v>0.66666697749999992</v>
      </c>
      <c r="N20" s="9">
        <v>-1.333333954999997</v>
      </c>
      <c r="O20" s="10">
        <v>0</v>
      </c>
      <c r="P20" s="11">
        <v>32.893166977500002</v>
      </c>
      <c r="R20" s="9">
        <f t="shared" si="1"/>
        <v>-0.16666674437499962</v>
      </c>
      <c r="S20" s="10">
        <f t="shared" si="1"/>
        <v>0</v>
      </c>
      <c r="T20" s="11">
        <f t="shared" si="1"/>
        <v>4.1116458721875002</v>
      </c>
    </row>
    <row r="21" spans="1:22" ht="15" thickBot="1" x14ac:dyDescent="0.35">
      <c r="E21" s="71"/>
      <c r="F21" s="71"/>
      <c r="G21" s="71"/>
      <c r="H21" s="71"/>
      <c r="I21" s="71"/>
      <c r="J21" s="71"/>
      <c r="K21" s="71"/>
      <c r="L21" s="71"/>
    </row>
    <row r="22" spans="1:22" x14ac:dyDescent="0.3">
      <c r="A22">
        <v>3</v>
      </c>
      <c r="B22" s="2" t="s">
        <v>8</v>
      </c>
      <c r="C22">
        <v>0.57735000000000003</v>
      </c>
      <c r="E22" s="68">
        <f>-(1-C23)*(1-C24)</f>
        <v>-0.66666697749999992</v>
      </c>
      <c r="F22" s="75">
        <f>(1-C23)*(1-C24)</f>
        <v>0.66666697749999992</v>
      </c>
      <c r="G22" s="75">
        <f>(1+C23)*(1-C24)</f>
        <v>0.17863302249999999</v>
      </c>
      <c r="H22" s="75">
        <f>-(1+C23)*(1-C24)</f>
        <v>-0.17863302249999999</v>
      </c>
      <c r="I22" s="75">
        <f>-(1-C23)*(1+C24)</f>
        <v>-2.4880330225000002</v>
      </c>
      <c r="J22" s="75">
        <f>(1-C23)*(1+C24)</f>
        <v>2.4880330225000002</v>
      </c>
      <c r="K22" s="75">
        <f>(1+C23)*(1+C24)</f>
        <v>0.66666697749999992</v>
      </c>
      <c r="L22" s="76">
        <f>-(1+C23)*(1+C24)</f>
        <v>-0.66666697749999992</v>
      </c>
      <c r="N22" s="3">
        <f t="array" ref="N22:P24">MMULT(E22:L24,$B$3:$D$10)</f>
        <v>41.333333955000001</v>
      </c>
      <c r="O22" s="4">
        <v>0</v>
      </c>
      <c r="P22" s="5">
        <v>-6.976066977500003</v>
      </c>
      <c r="R22" s="3">
        <f t="shared" ref="R22:T24" si="2">$F$3*N22</f>
        <v>5.1666667443750001</v>
      </c>
      <c r="S22" s="4">
        <f t="shared" si="2"/>
        <v>0</v>
      </c>
      <c r="T22" s="5">
        <f t="shared" si="2"/>
        <v>-0.87200837218750038</v>
      </c>
      <c r="V22">
        <f>MDETERM(R22:T24)</f>
        <v>124.30190776311238</v>
      </c>
    </row>
    <row r="23" spans="1:22" x14ac:dyDescent="0.3">
      <c r="B23" s="2" t="s">
        <v>9</v>
      </c>
      <c r="C23">
        <v>-0.57735000000000003</v>
      </c>
      <c r="E23" s="69">
        <f>-(1-C22)*(1-C24)</f>
        <v>-0.17863302249999999</v>
      </c>
      <c r="F23" s="77">
        <f>-(1+C22)*(1-C24)</f>
        <v>-0.66666697749999992</v>
      </c>
      <c r="G23" s="77">
        <f>(1+C22)*(1-C24)</f>
        <v>0.66666697749999992</v>
      </c>
      <c r="H23" s="77">
        <f>(1-C22)*(1-C24)</f>
        <v>0.17863302249999999</v>
      </c>
      <c r="I23" s="77">
        <f>-(1-C22)*(1+C24)</f>
        <v>-0.66666697749999992</v>
      </c>
      <c r="J23" s="77">
        <f>-(1+C22)*(1+C24)</f>
        <v>-2.4880330225000002</v>
      </c>
      <c r="K23" s="77">
        <f>(1+C22)*(1+C24)</f>
        <v>2.4880330225000002</v>
      </c>
      <c r="L23" s="78">
        <f>(1-C22)*(1+C24)</f>
        <v>0.66666697749999992</v>
      </c>
      <c r="N23" s="6">
        <v>-1.3333339550000005</v>
      </c>
      <c r="O23" s="7">
        <v>40</v>
      </c>
      <c r="P23" s="8">
        <v>-8.7974330224999981</v>
      </c>
      <c r="R23" s="6">
        <f t="shared" si="2"/>
        <v>-0.16666674437500006</v>
      </c>
      <c r="S23" s="7">
        <f t="shared" si="2"/>
        <v>5</v>
      </c>
      <c r="T23" s="8">
        <f t="shared" si="2"/>
        <v>-1.0996791278124998</v>
      </c>
    </row>
    <row r="24" spans="1:22" ht="15" thickBot="1" x14ac:dyDescent="0.35">
      <c r="B24" s="2" t="s">
        <v>10</v>
      </c>
      <c r="C24">
        <v>0.57735000000000003</v>
      </c>
      <c r="E24" s="70">
        <f>-(1-C22)*(1-C23)</f>
        <v>-0.66666697749999992</v>
      </c>
      <c r="F24" s="79">
        <f>-(1+C22)*(1-C23)</f>
        <v>-2.4880330225000002</v>
      </c>
      <c r="G24" s="79">
        <f>-(1+C22)*(1+C23)</f>
        <v>-0.66666697749999992</v>
      </c>
      <c r="H24" s="79">
        <f>-(1-C22)*(1+C23)</f>
        <v>-0.17863302249999999</v>
      </c>
      <c r="I24" s="79">
        <f>(1-C22)*(1-C23)</f>
        <v>0.66666697749999992</v>
      </c>
      <c r="J24" s="79">
        <f>(1+C22)*(1-C23)</f>
        <v>2.4880330225000002</v>
      </c>
      <c r="K24" s="79">
        <f>(1+C22)*(1+C23)</f>
        <v>0.66666697749999992</v>
      </c>
      <c r="L24" s="80">
        <f>(1-C22)*(1+C23)</f>
        <v>0.17863302249999999</v>
      </c>
      <c r="N24" s="9">
        <v>-4.9760660450000067</v>
      </c>
      <c r="O24" s="10">
        <v>-4.4408920985006262E-16</v>
      </c>
      <c r="P24" s="11">
        <v>39.3333330225</v>
      </c>
      <c r="R24" s="9">
        <f t="shared" si="2"/>
        <v>-0.62200825562500084</v>
      </c>
      <c r="S24" s="10">
        <f t="shared" si="2"/>
        <v>-5.5511151231257827E-17</v>
      </c>
      <c r="T24" s="11">
        <f t="shared" si="2"/>
        <v>4.9166666278125</v>
      </c>
    </row>
    <row r="25" spans="1:22" ht="15" thickBot="1" x14ac:dyDescent="0.35">
      <c r="E25" s="71"/>
      <c r="F25" s="71"/>
      <c r="G25" s="71"/>
      <c r="H25" s="71"/>
      <c r="I25" s="71"/>
      <c r="J25" s="71"/>
      <c r="K25" s="71"/>
      <c r="L25" s="71"/>
    </row>
    <row r="26" spans="1:22" x14ac:dyDescent="0.3">
      <c r="A26">
        <v>4</v>
      </c>
      <c r="B26" s="2" t="s">
        <v>8</v>
      </c>
      <c r="C26">
        <v>0.57735000000000003</v>
      </c>
      <c r="E26" s="68">
        <f>-(1-C27)*(1-C28)</f>
        <v>-2.4880330225000002</v>
      </c>
      <c r="F26" s="75">
        <f>(1-C27)*(1-C28)</f>
        <v>2.4880330225000002</v>
      </c>
      <c r="G26" s="75">
        <f>(1+C27)*(1-C28)</f>
        <v>0.66666697749999992</v>
      </c>
      <c r="H26" s="75">
        <f>-(1+C27)*(1-C28)</f>
        <v>-0.66666697749999992</v>
      </c>
      <c r="I26" s="75">
        <f>-(1-C27)*(1+C28)</f>
        <v>-0.66666697749999992</v>
      </c>
      <c r="J26" s="75">
        <f>(1-C27)*(1+C28)</f>
        <v>0.66666697749999992</v>
      </c>
      <c r="K26" s="75">
        <f>(1+C27)*(1+C28)</f>
        <v>0.17863302249999999</v>
      </c>
      <c r="L26" s="76">
        <f>-(1+C27)*(1+C28)</f>
        <v>-0.17863302249999999</v>
      </c>
      <c r="N26" s="3">
        <f t="array" ref="N26:P28">MMULT(E26:L28,$B$3:$D$10)</f>
        <v>44.97606604500001</v>
      </c>
      <c r="O26" s="4">
        <v>0</v>
      </c>
      <c r="P26" s="5">
        <v>-1.8692330225000005</v>
      </c>
      <c r="R26" s="3">
        <f t="shared" ref="R26:T28" si="3">$F$3*N26</f>
        <v>5.6220082556250013</v>
      </c>
      <c r="S26" s="4">
        <f t="shared" si="3"/>
        <v>0</v>
      </c>
      <c r="T26" s="5">
        <f t="shared" si="3"/>
        <v>-0.23365412781250006</v>
      </c>
      <c r="V26">
        <f>MDETERM(R26:T28)</f>
        <v>137.48102787628787</v>
      </c>
    </row>
    <row r="27" spans="1:22" x14ac:dyDescent="0.3">
      <c r="B27" s="2" t="s">
        <v>9</v>
      </c>
      <c r="C27">
        <v>-0.57735000000000003</v>
      </c>
      <c r="E27" s="69">
        <f>-(1-C26)*(1-C28)</f>
        <v>-0.66666697749999992</v>
      </c>
      <c r="F27" s="77">
        <f>-(1+C26)*(1-C28)</f>
        <v>-2.4880330225000002</v>
      </c>
      <c r="G27" s="77">
        <f>(1+C26)*(1-C28)</f>
        <v>2.4880330225000002</v>
      </c>
      <c r="H27" s="77">
        <f>(1-C26)*(1-C28)</f>
        <v>0.66666697749999992</v>
      </c>
      <c r="I27" s="77">
        <f>-(1-C26)*(1+C28)</f>
        <v>-0.17863302249999999</v>
      </c>
      <c r="J27" s="77">
        <f>-(1+C26)*(1+C28)</f>
        <v>-0.66666697749999992</v>
      </c>
      <c r="K27" s="77">
        <f>(1+C26)*(1+C28)</f>
        <v>0.66666697749999992</v>
      </c>
      <c r="L27" s="78">
        <f>(1-C26)*(1+C28)</f>
        <v>0.17863302249999999</v>
      </c>
      <c r="N27" s="6">
        <v>-4.9760660450000032</v>
      </c>
      <c r="O27" s="7">
        <v>40</v>
      </c>
      <c r="P27" s="8">
        <v>-2.3572669774999997</v>
      </c>
      <c r="R27" s="6">
        <f t="shared" si="3"/>
        <v>-0.62200825562500039</v>
      </c>
      <c r="S27" s="7">
        <f t="shared" si="3"/>
        <v>5</v>
      </c>
      <c r="T27" s="8">
        <f t="shared" si="3"/>
        <v>-0.29465837218749996</v>
      </c>
    </row>
    <row r="28" spans="1:22" ht="15" thickBot="1" x14ac:dyDescent="0.35">
      <c r="B28" s="2" t="s">
        <v>10</v>
      </c>
      <c r="C28">
        <v>-0.57735000000000003</v>
      </c>
      <c r="E28" s="70">
        <f>-(1-C26)*(1-C27)</f>
        <v>-0.66666697749999992</v>
      </c>
      <c r="F28" s="79">
        <f>-(1+C26)*(1-C27)</f>
        <v>-2.4880330225000002</v>
      </c>
      <c r="G28" s="79">
        <f>-(1+C26)*(1+C27)</f>
        <v>-0.66666697749999992</v>
      </c>
      <c r="H28" s="79">
        <f>-(1-C26)*(1+C27)</f>
        <v>-0.17863302249999999</v>
      </c>
      <c r="I28" s="79">
        <f>(1-C26)*(1-C27)</f>
        <v>0.66666697749999992</v>
      </c>
      <c r="J28" s="79">
        <f>(1+C26)*(1-C27)</f>
        <v>2.4880330225000002</v>
      </c>
      <c r="K28" s="79">
        <f>(1+C26)*(1+C27)</f>
        <v>0.66666697749999992</v>
      </c>
      <c r="L28" s="80">
        <f>(1-C26)*(1+C27)</f>
        <v>0.17863302249999999</v>
      </c>
      <c r="N28" s="9">
        <v>-4.9760660450000067</v>
      </c>
      <c r="O28" s="10">
        <v>-4.4408920985006262E-16</v>
      </c>
      <c r="P28" s="11">
        <v>39.3333330225</v>
      </c>
      <c r="R28" s="9">
        <f t="shared" si="3"/>
        <v>-0.62200825562500084</v>
      </c>
      <c r="S28" s="10">
        <f t="shared" si="3"/>
        <v>-5.5511151231257827E-17</v>
      </c>
      <c r="T28" s="11">
        <f t="shared" si="3"/>
        <v>4.9166666278125</v>
      </c>
    </row>
    <row r="29" spans="1:22" ht="15" thickBot="1" x14ac:dyDescent="0.35">
      <c r="E29" s="71"/>
      <c r="F29" s="71"/>
      <c r="G29" s="71"/>
      <c r="H29" s="71"/>
      <c r="I29" s="71"/>
      <c r="J29" s="71"/>
      <c r="K29" s="71"/>
      <c r="L29" s="71"/>
    </row>
    <row r="30" spans="1:22" x14ac:dyDescent="0.3">
      <c r="A30">
        <v>5</v>
      </c>
      <c r="B30" s="2" t="s">
        <v>8</v>
      </c>
      <c r="C30">
        <v>-0.57735000000000003</v>
      </c>
      <c r="E30" s="68">
        <f>-(1-C31)*(1-C32)</f>
        <v>-0.17863302249999999</v>
      </c>
      <c r="F30" s="75">
        <f>(1-C31)*(1-C32)</f>
        <v>0.17863302249999999</v>
      </c>
      <c r="G30" s="75">
        <f>(1+C31)*(1-C32)</f>
        <v>0.66666697749999992</v>
      </c>
      <c r="H30" s="75">
        <f>-(1+C31)*(1-C32)</f>
        <v>-0.66666697749999992</v>
      </c>
      <c r="I30" s="75">
        <f>-(1-C31)*(1+C32)</f>
        <v>-0.66666697749999992</v>
      </c>
      <c r="J30" s="75">
        <f>(1-C31)*(1+C32)</f>
        <v>0.66666697749999992</v>
      </c>
      <c r="K30" s="75">
        <f>(1+C31)*(1+C32)</f>
        <v>2.4880330225000002</v>
      </c>
      <c r="L30" s="76">
        <f>-(1+C31)*(1+C32)</f>
        <v>-2.4880330225000002</v>
      </c>
      <c r="N30" s="3">
        <f t="array" ref="N30:P32">MMULT(E30:L32,$B$3:$D$10)</f>
        <v>40.357266045000003</v>
      </c>
      <c r="O30" s="4">
        <v>0</v>
      </c>
      <c r="P30" s="5">
        <v>-8.7974330225000017</v>
      </c>
      <c r="R30" s="3">
        <f t="shared" ref="R30:T32" si="4">$F$3*N30</f>
        <v>5.0446582556250004</v>
      </c>
      <c r="S30" s="4">
        <f t="shared" si="4"/>
        <v>0</v>
      </c>
      <c r="T30" s="5">
        <f t="shared" si="4"/>
        <v>-1.0996791278125002</v>
      </c>
      <c r="V30">
        <f>MDETERM(R30:T32)</f>
        <v>123.76896571277467</v>
      </c>
    </row>
    <row r="31" spans="1:22" x14ac:dyDescent="0.3">
      <c r="B31" s="2" t="s">
        <v>9</v>
      </c>
      <c r="C31">
        <v>0.57735000000000003</v>
      </c>
      <c r="E31" s="69">
        <f>-(1-C30)*(1-C32)</f>
        <v>-0.66666697749999992</v>
      </c>
      <c r="F31" s="77">
        <f>-(1+C30)*(1-C32)</f>
        <v>-0.17863302249999999</v>
      </c>
      <c r="G31" s="77">
        <f>(1+C30)*(1-C32)</f>
        <v>0.17863302249999999</v>
      </c>
      <c r="H31" s="77">
        <f>(1-C30)*(1-C32)</f>
        <v>0.66666697749999992</v>
      </c>
      <c r="I31" s="77">
        <f>-(1-C30)*(1+C32)</f>
        <v>-2.4880330225000002</v>
      </c>
      <c r="J31" s="77">
        <f>-(1+C30)*(1+C32)</f>
        <v>-0.66666697749999992</v>
      </c>
      <c r="K31" s="77">
        <f>(1+C30)*(1+C32)</f>
        <v>0.66666697749999992</v>
      </c>
      <c r="L31" s="78">
        <f>(1-C30)*(1+C32)</f>
        <v>2.4880330225000002</v>
      </c>
      <c r="N31" s="6">
        <v>-0.35726604499999937</v>
      </c>
      <c r="O31" s="7">
        <v>40</v>
      </c>
      <c r="P31" s="8">
        <v>-6.9760669775000075</v>
      </c>
      <c r="R31" s="6">
        <f t="shared" si="4"/>
        <v>-4.4658255624999921E-2</v>
      </c>
      <c r="S31" s="7">
        <f t="shared" si="4"/>
        <v>5</v>
      </c>
      <c r="T31" s="8">
        <f t="shared" si="4"/>
        <v>-0.87200837218750094</v>
      </c>
    </row>
    <row r="32" spans="1:22" ht="15" thickBot="1" x14ac:dyDescent="0.35">
      <c r="B32" s="2" t="s">
        <v>10</v>
      </c>
      <c r="C32">
        <v>0.57735000000000003</v>
      </c>
      <c r="E32" s="70">
        <f>-(1-C30)*(1-C31)</f>
        <v>-0.66666697749999992</v>
      </c>
      <c r="F32" s="79">
        <f>-(1+C30)*(1-C31)</f>
        <v>-0.17863302249999999</v>
      </c>
      <c r="G32" s="79">
        <f>-(1+C30)*(1+C31)</f>
        <v>-0.66666697749999992</v>
      </c>
      <c r="H32" s="79">
        <f>-(1-C30)*(1+C31)</f>
        <v>-2.4880330225000002</v>
      </c>
      <c r="I32" s="79">
        <f>(1-C30)*(1-C31)</f>
        <v>0.66666697749999992</v>
      </c>
      <c r="J32" s="79">
        <f>(1+C30)*(1-C31)</f>
        <v>0.17863302249999999</v>
      </c>
      <c r="K32" s="79">
        <f>(1+C30)*(1+C31)</f>
        <v>0.66666697749999992</v>
      </c>
      <c r="L32" s="80">
        <f>(1-C30)*(1+C31)</f>
        <v>2.4880330225000002</v>
      </c>
      <c r="N32" s="9">
        <v>-0.35726604499999937</v>
      </c>
      <c r="O32" s="10">
        <v>0</v>
      </c>
      <c r="P32" s="11">
        <v>39.3333330225</v>
      </c>
      <c r="R32" s="9">
        <f t="shared" si="4"/>
        <v>-4.4658255624999921E-2</v>
      </c>
      <c r="S32" s="10">
        <f t="shared" si="4"/>
        <v>0</v>
      </c>
      <c r="T32" s="11">
        <f t="shared" si="4"/>
        <v>4.9166666278125</v>
      </c>
    </row>
    <row r="33" spans="1:22" ht="15" thickBot="1" x14ac:dyDescent="0.35">
      <c r="E33" s="71"/>
      <c r="F33" s="71"/>
      <c r="G33" s="71"/>
      <c r="H33" s="71"/>
      <c r="I33" s="71"/>
      <c r="J33" s="71"/>
      <c r="K33" s="71"/>
      <c r="L33" s="71"/>
    </row>
    <row r="34" spans="1:22" x14ac:dyDescent="0.3">
      <c r="A34">
        <v>6</v>
      </c>
      <c r="B34" s="2" t="s">
        <v>8</v>
      </c>
      <c r="C34">
        <v>-0.57735000000000003</v>
      </c>
      <c r="E34" s="68">
        <f>-(1-C35)*(1-C36)</f>
        <v>-0.66666697749999992</v>
      </c>
      <c r="F34" s="75">
        <f>(1-C35)*(1-C36)</f>
        <v>0.66666697749999992</v>
      </c>
      <c r="G34" s="75">
        <f>(1+C35)*(1-C36)</f>
        <v>2.4880330225000002</v>
      </c>
      <c r="H34" s="75">
        <f>-(1+C35)*(1-C36)</f>
        <v>-2.4880330225000002</v>
      </c>
      <c r="I34" s="75">
        <f>-(1-C35)*(1+C36)</f>
        <v>-0.17863302249999999</v>
      </c>
      <c r="J34" s="75">
        <f>(1-C35)*(1+C36)</f>
        <v>0.17863302249999999</v>
      </c>
      <c r="K34" s="75">
        <f>(1+C35)*(1+C36)</f>
        <v>0.66666697749999992</v>
      </c>
      <c r="L34" s="76">
        <f>-(1+C35)*(1+C36)</f>
        <v>-0.66666697749999992</v>
      </c>
      <c r="N34" s="3">
        <f t="array" ref="N34:P36">MMULT(E34:L36,$B$3:$D$10)</f>
        <v>41.333333955000001</v>
      </c>
      <c r="O34" s="4">
        <v>0</v>
      </c>
      <c r="P34" s="5">
        <v>-2.3572669775000001</v>
      </c>
      <c r="R34" s="3">
        <f t="shared" ref="R34:T36" si="5">$F$3*N34</f>
        <v>5.1666667443750001</v>
      </c>
      <c r="S34" s="4">
        <f t="shared" si="5"/>
        <v>0</v>
      </c>
      <c r="T34" s="5">
        <f t="shared" si="5"/>
        <v>-0.29465837218750002</v>
      </c>
      <c r="V34">
        <f>MDETERM(R34:T36)</f>
        <v>126.94809515095012</v>
      </c>
    </row>
    <row r="35" spans="1:22" x14ac:dyDescent="0.3">
      <c r="B35" s="2" t="s">
        <v>9</v>
      </c>
      <c r="C35">
        <v>0.57735000000000003</v>
      </c>
      <c r="E35" s="69">
        <f>-(1-C34)*(1-C36)</f>
        <v>-2.4880330225000002</v>
      </c>
      <c r="F35" s="77">
        <f>-(1+C34)*(1-C36)</f>
        <v>-0.66666697749999992</v>
      </c>
      <c r="G35" s="77">
        <f>(1+C34)*(1-C36)</f>
        <v>0.66666697749999992</v>
      </c>
      <c r="H35" s="77">
        <f>(1-C34)*(1-C36)</f>
        <v>2.4880330225000002</v>
      </c>
      <c r="I35" s="77">
        <f>-(1-C34)*(1+C36)</f>
        <v>-0.66666697749999992</v>
      </c>
      <c r="J35" s="77">
        <f>-(1+C34)*(1+C36)</f>
        <v>-0.17863302249999999</v>
      </c>
      <c r="K35" s="77">
        <f>(1+C34)*(1+C36)</f>
        <v>0.17863302249999999</v>
      </c>
      <c r="L35" s="78">
        <f>(1-C34)*(1+C36)</f>
        <v>0.66666697749999992</v>
      </c>
      <c r="N35" s="6">
        <v>-1.3333339550000005</v>
      </c>
      <c r="O35" s="7">
        <v>40</v>
      </c>
      <c r="P35" s="8">
        <v>-1.8692330225000013</v>
      </c>
      <c r="R35" s="6">
        <f t="shared" si="5"/>
        <v>-0.16666674437500006</v>
      </c>
      <c r="S35" s="7">
        <f t="shared" si="5"/>
        <v>5</v>
      </c>
      <c r="T35" s="8">
        <f t="shared" si="5"/>
        <v>-0.23365412781250017</v>
      </c>
    </row>
    <row r="36" spans="1:22" ht="15" thickBot="1" x14ac:dyDescent="0.35">
      <c r="B36" s="2" t="s">
        <v>10</v>
      </c>
      <c r="C36">
        <v>-0.57735000000000003</v>
      </c>
      <c r="E36" s="70">
        <f>-(1-C34)*(1-C35)</f>
        <v>-0.66666697749999992</v>
      </c>
      <c r="F36" s="79">
        <f>-(1+C34)*(1-C35)</f>
        <v>-0.17863302249999999</v>
      </c>
      <c r="G36" s="79">
        <f>-(1+C34)*(1+C35)</f>
        <v>-0.66666697749999992</v>
      </c>
      <c r="H36" s="79">
        <f>-(1-C34)*(1+C35)</f>
        <v>-2.4880330225000002</v>
      </c>
      <c r="I36" s="79">
        <f>(1-C34)*(1-C35)</f>
        <v>0.66666697749999992</v>
      </c>
      <c r="J36" s="79">
        <f>(1+C34)*(1-C35)</f>
        <v>0.17863302249999999</v>
      </c>
      <c r="K36" s="79">
        <f>(1+C34)*(1+C35)</f>
        <v>0.66666697749999992</v>
      </c>
      <c r="L36" s="80">
        <f>(1-C34)*(1+C35)</f>
        <v>2.4880330225000002</v>
      </c>
      <c r="N36" s="9">
        <v>-0.35726604499999937</v>
      </c>
      <c r="O36" s="10">
        <v>0</v>
      </c>
      <c r="P36" s="11">
        <v>39.3333330225</v>
      </c>
      <c r="R36" s="9">
        <f t="shared" si="5"/>
        <v>-4.4658255624999921E-2</v>
      </c>
      <c r="S36" s="10">
        <f t="shared" si="5"/>
        <v>0</v>
      </c>
      <c r="T36" s="11">
        <f t="shared" si="5"/>
        <v>4.9166666278125</v>
      </c>
    </row>
    <row r="37" spans="1:22" ht="15" thickBot="1" x14ac:dyDescent="0.35">
      <c r="E37" s="71"/>
      <c r="F37" s="71"/>
      <c r="G37" s="71"/>
      <c r="H37" s="71"/>
      <c r="I37" s="71"/>
      <c r="J37" s="71"/>
      <c r="K37" s="71"/>
      <c r="L37" s="71"/>
    </row>
    <row r="38" spans="1:22" x14ac:dyDescent="0.3">
      <c r="A38">
        <v>7</v>
      </c>
      <c r="B38" s="2" t="s">
        <v>8</v>
      </c>
      <c r="C38">
        <v>-0.57735000000000003</v>
      </c>
      <c r="E38" s="68">
        <f>-(1-C39)*(1-C40)</f>
        <v>-0.66666697749999992</v>
      </c>
      <c r="F38" s="75">
        <f>(1-C39)*(1-C40)</f>
        <v>0.66666697749999992</v>
      </c>
      <c r="G38" s="75">
        <f>(1+C39)*(1-C40)</f>
        <v>0.17863302249999999</v>
      </c>
      <c r="H38" s="75">
        <f>-(1+C39)*(1-C40)</f>
        <v>-0.17863302249999999</v>
      </c>
      <c r="I38" s="75">
        <f>-(1-C39)*(1+C40)</f>
        <v>-2.4880330225000002</v>
      </c>
      <c r="J38" s="75">
        <f>(1-C39)*(1+C40)</f>
        <v>2.4880330225000002</v>
      </c>
      <c r="K38" s="75">
        <f>(1+C39)*(1+C40)</f>
        <v>0.66666697749999992</v>
      </c>
      <c r="L38" s="76">
        <f>-(1+C39)*(1+C40)</f>
        <v>-0.66666697749999992</v>
      </c>
      <c r="N38" s="3">
        <f t="array" ref="N38:P40">MMULT(E38:L40,$B$3:$D$10)</f>
        <v>41.333333955000001</v>
      </c>
      <c r="O38" s="4">
        <v>0</v>
      </c>
      <c r="P38" s="5">
        <v>-6.976066977500003</v>
      </c>
      <c r="R38" s="3">
        <f t="shared" ref="R38:T40" si="6">$F$3*N38</f>
        <v>5.1666667443750001</v>
      </c>
      <c r="S38" s="4">
        <f t="shared" si="6"/>
        <v>0</v>
      </c>
      <c r="T38" s="5">
        <f t="shared" si="6"/>
        <v>-0.87200837218750038</v>
      </c>
      <c r="V38">
        <f>MDETERM(R38:T40)</f>
        <v>142.77803404089968</v>
      </c>
    </row>
    <row r="39" spans="1:22" x14ac:dyDescent="0.3">
      <c r="B39" s="2" t="s">
        <v>9</v>
      </c>
      <c r="C39">
        <v>-0.57735000000000003</v>
      </c>
      <c r="E39" s="69">
        <f>-(1-C38)*(1-C40)</f>
        <v>-0.66666697749999992</v>
      </c>
      <c r="F39" s="77">
        <f>-(1+C38)*(1-C40)</f>
        <v>-0.17863302249999999</v>
      </c>
      <c r="G39" s="77">
        <f>(1+C38)*(1-C40)</f>
        <v>0.17863302249999999</v>
      </c>
      <c r="H39" s="77">
        <f>(1-C38)*(1-C40)</f>
        <v>0.66666697749999992</v>
      </c>
      <c r="I39" s="77">
        <f>-(1-C38)*(1+C40)</f>
        <v>-2.4880330225000002</v>
      </c>
      <c r="J39" s="77">
        <f>-(1+C38)*(1+C40)</f>
        <v>-0.66666697749999992</v>
      </c>
      <c r="K39" s="77">
        <f>(1+C38)*(1+C40)</f>
        <v>0.66666697749999992</v>
      </c>
      <c r="L39" s="78">
        <f>(1-C38)*(1+C40)</f>
        <v>2.4880330225000002</v>
      </c>
      <c r="N39" s="6">
        <v>-0.35726604499999937</v>
      </c>
      <c r="O39" s="7">
        <v>40</v>
      </c>
      <c r="P39" s="8">
        <v>-6.9760669775000075</v>
      </c>
      <c r="R39" s="6">
        <f t="shared" si="6"/>
        <v>-4.4658255624999921E-2</v>
      </c>
      <c r="S39" s="7">
        <f t="shared" si="6"/>
        <v>5</v>
      </c>
      <c r="T39" s="8">
        <f t="shared" si="6"/>
        <v>-0.87200837218750094</v>
      </c>
    </row>
    <row r="40" spans="1:22" ht="15" thickBot="1" x14ac:dyDescent="0.35">
      <c r="B40" s="2" t="s">
        <v>10</v>
      </c>
      <c r="C40">
        <v>0.57735000000000003</v>
      </c>
      <c r="E40" s="70">
        <f>-(1-C38)*(1-C39)</f>
        <v>-2.4880330225000002</v>
      </c>
      <c r="F40" s="79">
        <f>-(1+C38)*(1-C39)</f>
        <v>-0.66666697749999992</v>
      </c>
      <c r="G40" s="79">
        <f>-(1+C38)*(1+C39)</f>
        <v>-0.17863302249999999</v>
      </c>
      <c r="H40" s="79">
        <f>-(1-C38)*(1+C39)</f>
        <v>-0.66666697749999992</v>
      </c>
      <c r="I40" s="79">
        <f>(1-C38)*(1-C39)</f>
        <v>2.4880330225000002</v>
      </c>
      <c r="J40" s="79">
        <f>(1+C38)*(1-C39)</f>
        <v>0.66666697749999992</v>
      </c>
      <c r="K40" s="79">
        <f>(1+C38)*(1+C39)</f>
        <v>0.17863302249999999</v>
      </c>
      <c r="L40" s="80">
        <f>(1-C38)*(1+C39)</f>
        <v>0.66666697749999992</v>
      </c>
      <c r="N40" s="9">
        <v>-1.333333955000001</v>
      </c>
      <c r="O40" s="10">
        <v>0</v>
      </c>
      <c r="P40" s="11">
        <v>44.440166977500013</v>
      </c>
      <c r="R40" s="9">
        <f t="shared" si="6"/>
        <v>-0.16666674437500012</v>
      </c>
      <c r="S40" s="10">
        <f t="shared" si="6"/>
        <v>0</v>
      </c>
      <c r="T40" s="11">
        <f t="shared" si="6"/>
        <v>5.5550208721875016</v>
      </c>
    </row>
    <row r="41" spans="1:22" ht="15" thickBot="1" x14ac:dyDescent="0.35">
      <c r="E41" s="71"/>
      <c r="F41" s="71"/>
      <c r="G41" s="71"/>
      <c r="H41" s="71"/>
      <c r="I41" s="71"/>
      <c r="J41" s="71"/>
      <c r="K41" s="71"/>
      <c r="L41" s="71"/>
    </row>
    <row r="42" spans="1:22" x14ac:dyDescent="0.3">
      <c r="A42">
        <v>8</v>
      </c>
      <c r="B42" s="2" t="s">
        <v>8</v>
      </c>
      <c r="C42">
        <v>-0.57735000000000003</v>
      </c>
      <c r="E42" s="68">
        <f>-(1-C43)*(1-C44)</f>
        <v>-2.4880330225000002</v>
      </c>
      <c r="F42" s="75">
        <f>(1-C43)*(1-C44)</f>
        <v>2.4880330225000002</v>
      </c>
      <c r="G42" s="75">
        <f>(1+C43)*(1-C44)</f>
        <v>0.66666697749999992</v>
      </c>
      <c r="H42" s="75">
        <f>-(1+C43)*(1-C44)</f>
        <v>-0.66666697749999992</v>
      </c>
      <c r="I42" s="75">
        <f>-(1-C43)*(1+C44)</f>
        <v>-0.66666697749999992</v>
      </c>
      <c r="J42" s="75">
        <f>(1-C43)*(1+C44)</f>
        <v>0.66666697749999992</v>
      </c>
      <c r="K42" s="75">
        <f>(1+C43)*(1+C44)</f>
        <v>0.17863302249999999</v>
      </c>
      <c r="L42" s="76">
        <f>-(1+C43)*(1+C44)</f>
        <v>-0.17863302249999999</v>
      </c>
      <c r="N42" s="3">
        <f t="array" ref="N42:P44">MMULT(E42:L44,$B$3:$D$10)</f>
        <v>44.97606604500001</v>
      </c>
      <c r="O42" s="4">
        <v>0</v>
      </c>
      <c r="P42" s="5">
        <v>-1.8692330225000005</v>
      </c>
      <c r="R42" s="3">
        <f t="shared" ref="R42:T44" si="7">$F$3*N42</f>
        <v>5.6220082556250013</v>
      </c>
      <c r="S42" s="4">
        <f t="shared" si="7"/>
        <v>0</v>
      </c>
      <c r="T42" s="5">
        <f t="shared" si="7"/>
        <v>-0.23365412781250006</v>
      </c>
      <c r="V42">
        <f>MDETERM(R42:T44)</f>
        <v>155.9571541540752</v>
      </c>
    </row>
    <row r="43" spans="1:22" x14ac:dyDescent="0.3">
      <c r="B43" s="2" t="s">
        <v>9</v>
      </c>
      <c r="C43">
        <v>-0.57735000000000003</v>
      </c>
      <c r="E43" s="69">
        <f>-(1-C42)*(1-C44)</f>
        <v>-2.4880330225000002</v>
      </c>
      <c r="F43" s="77">
        <f>-(1+C42)*(1-C44)</f>
        <v>-0.66666697749999992</v>
      </c>
      <c r="G43" s="77">
        <f>(1+C42)*(1-C44)</f>
        <v>0.66666697749999992</v>
      </c>
      <c r="H43" s="77">
        <f>(1-C42)*(1-C44)</f>
        <v>2.4880330225000002</v>
      </c>
      <c r="I43" s="77">
        <f>-(1-C42)*(1+C44)</f>
        <v>-0.66666697749999992</v>
      </c>
      <c r="J43" s="77">
        <f>-(1+C42)*(1+C44)</f>
        <v>-0.17863302249999999</v>
      </c>
      <c r="K43" s="77">
        <f>(1+C42)*(1+C44)</f>
        <v>0.17863302249999999</v>
      </c>
      <c r="L43" s="78">
        <f>(1-C42)*(1+C44)</f>
        <v>0.66666697749999992</v>
      </c>
      <c r="N43" s="6">
        <v>-1.3333339550000005</v>
      </c>
      <c r="O43" s="7">
        <v>40</v>
      </c>
      <c r="P43" s="8">
        <v>-1.8692330225000013</v>
      </c>
      <c r="R43" s="6">
        <f t="shared" si="7"/>
        <v>-0.16666674437500006</v>
      </c>
      <c r="S43" s="7">
        <f t="shared" si="7"/>
        <v>5</v>
      </c>
      <c r="T43" s="8">
        <f t="shared" si="7"/>
        <v>-0.23365412781250017</v>
      </c>
    </row>
    <row r="44" spans="1:22" ht="15" thickBot="1" x14ac:dyDescent="0.35">
      <c r="B44" s="2" t="s">
        <v>10</v>
      </c>
      <c r="C44">
        <v>-0.57735000000000003</v>
      </c>
      <c r="E44" s="70">
        <f>-(1-C42)*(1-C43)</f>
        <v>-2.4880330225000002</v>
      </c>
      <c r="F44" s="79">
        <f>-(1+C42)*(1-C43)</f>
        <v>-0.66666697749999992</v>
      </c>
      <c r="G44" s="79">
        <f>-(1+C42)*(1+C43)</f>
        <v>-0.17863302249999999</v>
      </c>
      <c r="H44" s="79">
        <f>-(1-C42)*(1+C43)</f>
        <v>-0.66666697749999992</v>
      </c>
      <c r="I44" s="79">
        <f>(1-C42)*(1-C43)</f>
        <v>2.4880330225000002</v>
      </c>
      <c r="J44" s="79">
        <f>(1+C42)*(1-C43)</f>
        <v>0.66666697749999992</v>
      </c>
      <c r="K44" s="79">
        <f>(1+C42)*(1+C43)</f>
        <v>0.17863302249999999</v>
      </c>
      <c r="L44" s="80">
        <f>(1-C42)*(1+C43)</f>
        <v>0.66666697749999992</v>
      </c>
      <c r="N44" s="9">
        <v>-1.333333955000001</v>
      </c>
      <c r="O44" s="10">
        <v>0</v>
      </c>
      <c r="P44" s="11">
        <v>44.440166977500013</v>
      </c>
      <c r="R44" s="9">
        <f t="shared" si="7"/>
        <v>-0.16666674437500012</v>
      </c>
      <c r="S44" s="10">
        <f t="shared" si="7"/>
        <v>0</v>
      </c>
      <c r="T44" s="11">
        <f t="shared" si="7"/>
        <v>5.5550208721875016</v>
      </c>
    </row>
    <row r="45" spans="1:22" x14ac:dyDescent="0.3">
      <c r="E45" s="71"/>
      <c r="F45" s="71"/>
      <c r="G45" s="71"/>
      <c r="H45" s="71"/>
      <c r="I45" s="71"/>
      <c r="J45" s="71"/>
      <c r="K45" s="71"/>
      <c r="L45" s="71"/>
    </row>
    <row r="46" spans="1:22" x14ac:dyDescent="0.3">
      <c r="E46" s="71"/>
      <c r="F46" s="71"/>
      <c r="G46" s="71"/>
      <c r="H46" s="71"/>
      <c r="I46" s="71"/>
      <c r="J46" s="71"/>
      <c r="K46" s="71"/>
      <c r="L46" s="71"/>
      <c r="U46" s="16" t="s">
        <v>32</v>
      </c>
      <c r="V46" s="16">
        <f>SUM(V14:V44)</f>
        <v>1019.9999976687502</v>
      </c>
    </row>
    <row r="47" spans="1:22" x14ac:dyDescent="0.3">
      <c r="E47" s="71"/>
      <c r="F47" s="71"/>
      <c r="G47" s="71"/>
      <c r="H47" s="71"/>
      <c r="I47" s="71"/>
      <c r="J47" s="71"/>
      <c r="K47" s="71"/>
      <c r="L47" s="71"/>
    </row>
    <row r="48" spans="1:22" ht="15" thickBot="1" x14ac:dyDescent="0.35">
      <c r="E48" s="71"/>
      <c r="F48" s="71"/>
      <c r="G48" s="71"/>
      <c r="H48" s="71"/>
      <c r="I48" s="71"/>
      <c r="J48" s="71"/>
      <c r="K48" s="71"/>
      <c r="L48" s="71"/>
    </row>
    <row r="49" spans="1:27" ht="15" thickBot="1" x14ac:dyDescent="0.35">
      <c r="B49" s="27" t="s">
        <v>24</v>
      </c>
      <c r="C49" s="28" t="s">
        <v>25</v>
      </c>
      <c r="D49" s="29" t="s">
        <v>26</v>
      </c>
      <c r="E49" s="71"/>
      <c r="F49" s="71"/>
      <c r="G49" s="71"/>
      <c r="H49" s="71"/>
      <c r="I49" s="71"/>
      <c r="J49" s="71"/>
      <c r="K49" s="71"/>
      <c r="L49" s="71"/>
    </row>
    <row r="50" spans="1:27" x14ac:dyDescent="0.3">
      <c r="B50" s="6">
        <v>2</v>
      </c>
      <c r="C50" s="7">
        <v>0.57735000000000003</v>
      </c>
      <c r="D50" s="8">
        <v>1</v>
      </c>
      <c r="E50" s="71"/>
      <c r="F50" s="71"/>
      <c r="G50" s="71"/>
      <c r="H50" s="71"/>
      <c r="I50" s="71"/>
      <c r="J50" s="71"/>
      <c r="K50" s="71"/>
      <c r="L50" s="71"/>
    </row>
    <row r="51" spans="1:27" ht="15" thickBot="1" x14ac:dyDescent="0.35">
      <c r="B51" s="9"/>
      <c r="C51" s="10">
        <f>-C50</f>
        <v>-0.57735000000000003</v>
      </c>
      <c r="D51" s="11">
        <v>1</v>
      </c>
      <c r="E51" s="71"/>
      <c r="F51" s="71"/>
      <c r="G51" s="71"/>
      <c r="H51" s="71"/>
      <c r="I51" s="71"/>
      <c r="J51" s="71"/>
      <c r="K51" s="71"/>
      <c r="L51" s="71"/>
    </row>
    <row r="52" spans="1:27" x14ac:dyDescent="0.3">
      <c r="E52" s="71"/>
      <c r="F52" s="71"/>
      <c r="G52" s="71"/>
      <c r="H52" s="71"/>
      <c r="I52" s="71"/>
      <c r="J52" s="71"/>
      <c r="K52" s="71"/>
      <c r="L52" s="71"/>
    </row>
    <row r="53" spans="1:27" x14ac:dyDescent="0.3">
      <c r="A53" t="s">
        <v>113</v>
      </c>
      <c r="E53" s="71"/>
      <c r="F53" s="71"/>
      <c r="G53" s="71"/>
      <c r="H53" s="71"/>
      <c r="I53" s="71"/>
      <c r="J53" s="71"/>
      <c r="K53" s="71"/>
      <c r="L53" s="71"/>
    </row>
    <row r="54" spans="1:27" ht="15" thickBot="1" x14ac:dyDescent="0.35">
      <c r="E54" s="71"/>
      <c r="F54" s="71"/>
      <c r="G54" s="71"/>
      <c r="H54" s="71"/>
      <c r="I54" s="71"/>
      <c r="J54" s="71"/>
      <c r="K54" s="71"/>
      <c r="L54" s="71"/>
      <c r="V54" t="s">
        <v>17</v>
      </c>
      <c r="X54" t="s">
        <v>114</v>
      </c>
      <c r="Z54" t="s">
        <v>23</v>
      </c>
      <c r="AA54" t="s">
        <v>115</v>
      </c>
    </row>
    <row r="55" spans="1:27" x14ac:dyDescent="0.3">
      <c r="A55">
        <v>1</v>
      </c>
      <c r="B55" s="2" t="s">
        <v>8</v>
      </c>
      <c r="C55">
        <f>Z55</f>
        <v>0.77459699999999998</v>
      </c>
      <c r="E55" s="68">
        <f>-(1-C56)*(1-C57)</f>
        <v>-5.0806512409000006E-2</v>
      </c>
      <c r="F55" s="75">
        <f>(1-C56)*(1-C57)</f>
        <v>5.0806512409000006E-2</v>
      </c>
      <c r="G55" s="75">
        <f>(1+C56)*(1-C57)</f>
        <v>0.39999948759100001</v>
      </c>
      <c r="H55" s="75">
        <f>-(1+C56)*(1-C57)</f>
        <v>-0.39999948759100001</v>
      </c>
      <c r="I55" s="75">
        <f>-(1-C56)*(1+C57)</f>
        <v>-0.39999948759100001</v>
      </c>
      <c r="J55" s="75">
        <f>(1-C56)*(1+C57)</f>
        <v>0.39999948759100001</v>
      </c>
      <c r="K55" s="75">
        <f>(1+C56)*(1+C57)</f>
        <v>3.1491945124089997</v>
      </c>
      <c r="L55" s="76">
        <f>-(1+C56)*(1+C57)</f>
        <v>-3.1491945124089997</v>
      </c>
      <c r="N55" s="3">
        <f t="array" ref="N55:P57">MMULT(E55:L57,$B$3:$D$10)</f>
        <v>40.101613024818</v>
      </c>
      <c r="O55" s="4">
        <v>0</v>
      </c>
      <c r="P55" s="5">
        <v>-10.247582512409</v>
      </c>
      <c r="R55" s="3">
        <f t="shared" ref="R55:T57" si="8">$F$3*N55</f>
        <v>5.0127016281022501</v>
      </c>
      <c r="S55" s="4">
        <f t="shared" si="8"/>
        <v>0</v>
      </c>
      <c r="T55" s="5">
        <f t="shared" si="8"/>
        <v>-1.280947814051125</v>
      </c>
      <c r="V55">
        <f>MDETERM(R55:T57)</f>
        <v>95.396716613649531</v>
      </c>
      <c r="X55">
        <f>V55*AA55*AA55*AA55</f>
        <v>16.357461696441966</v>
      </c>
      <c r="Z55" s="68">
        <v>0.77459699999999998</v>
      </c>
      <c r="AA55" s="5">
        <f>5/9</f>
        <v>0.55555555555555558</v>
      </c>
    </row>
    <row r="56" spans="1:27" x14ac:dyDescent="0.3">
      <c r="B56" s="2" t="s">
        <v>9</v>
      </c>
      <c r="C56">
        <f>Z55</f>
        <v>0.77459699999999998</v>
      </c>
      <c r="E56" s="69">
        <f>-(1-C55)*(1-C57)</f>
        <v>-5.0806512409000006E-2</v>
      </c>
      <c r="F56" s="77">
        <f>-(1+C55)*(1-C57)</f>
        <v>-0.39999948759100001</v>
      </c>
      <c r="G56" s="77">
        <f>(1+C55)*(1-C57)</f>
        <v>0.39999948759100001</v>
      </c>
      <c r="H56" s="77">
        <f>(1-C55)*(1-C57)</f>
        <v>5.0806512409000006E-2</v>
      </c>
      <c r="I56" s="77">
        <f>-(1-C55)*(1+C57)</f>
        <v>-0.39999948759100001</v>
      </c>
      <c r="J56" s="77">
        <f>-(1+C55)*(1+C57)</f>
        <v>-3.1491945124089997</v>
      </c>
      <c r="K56" s="77">
        <f>(1+C55)*(1+C57)</f>
        <v>3.1491945124089997</v>
      </c>
      <c r="L56" s="78">
        <f>(1-C55)*(1+C57)</f>
        <v>0.39999948759100001</v>
      </c>
      <c r="N56" s="6">
        <v>-0.79999897518200314</v>
      </c>
      <c r="O56" s="7">
        <v>39.999999999999993</v>
      </c>
      <c r="P56" s="8">
        <v>-10.247582512409002</v>
      </c>
      <c r="R56" s="6">
        <f t="shared" si="8"/>
        <v>-9.9999871897750392E-2</v>
      </c>
      <c r="S56" s="7">
        <f t="shared" si="8"/>
        <v>4.9999999999999991</v>
      </c>
      <c r="T56" s="8">
        <f t="shared" si="8"/>
        <v>-1.2809478140511252</v>
      </c>
      <c r="Z56" s="69">
        <v>-0.77459699999999998</v>
      </c>
      <c r="AA56" s="8">
        <f>5/9</f>
        <v>0.55555555555555558</v>
      </c>
    </row>
    <row r="57" spans="1:27" ht="15" thickBot="1" x14ac:dyDescent="0.35">
      <c r="B57" s="2" t="s">
        <v>10</v>
      </c>
      <c r="C57" s="71">
        <f>Z55</f>
        <v>0.77459699999999998</v>
      </c>
      <c r="E57" s="70">
        <f>-(1-C55)*(1-C56)</f>
        <v>-5.0806512409000006E-2</v>
      </c>
      <c r="F57" s="79">
        <f>-(1+C55)*(1-C56)</f>
        <v>-0.39999948759100001</v>
      </c>
      <c r="G57" s="79">
        <f>-(1+C55)*(1+C56)</f>
        <v>-3.1491945124089997</v>
      </c>
      <c r="H57" s="79">
        <f>-(1-C55)*(1+C56)</f>
        <v>-0.39999948759100001</v>
      </c>
      <c r="I57" s="79">
        <f>(1-C55)*(1-C56)</f>
        <v>5.0806512409000006E-2</v>
      </c>
      <c r="J57" s="79">
        <f>(1+C55)*(1-C56)</f>
        <v>0.39999948759100001</v>
      </c>
      <c r="K57" s="79">
        <f>(1+C55)*(1+C56)</f>
        <v>3.1491945124089997</v>
      </c>
      <c r="L57" s="80">
        <f>(1-C55)*(1+C56)</f>
        <v>0.39999948759100001</v>
      </c>
      <c r="N57" s="9">
        <v>-0.79999897518200314</v>
      </c>
      <c r="O57" s="10">
        <v>-1.3322676295501878E-15</v>
      </c>
      <c r="P57" s="11">
        <v>30.654029487591</v>
      </c>
      <c r="R57" s="9">
        <f t="shared" si="8"/>
        <v>-9.9999871897750392E-2</v>
      </c>
      <c r="S57" s="10">
        <f t="shared" si="8"/>
        <v>-1.6653345369377348E-16</v>
      </c>
      <c r="T57" s="11">
        <f t="shared" si="8"/>
        <v>3.831753685948875</v>
      </c>
      <c r="Z57" s="70">
        <v>0</v>
      </c>
      <c r="AA57" s="11">
        <f>8/9</f>
        <v>0.88888888888888884</v>
      </c>
    </row>
    <row r="58" spans="1:27" ht="15" thickBot="1" x14ac:dyDescent="0.35">
      <c r="E58" s="71"/>
      <c r="F58" s="71"/>
      <c r="G58" s="71"/>
      <c r="H58" s="71"/>
      <c r="I58" s="71"/>
      <c r="J58" s="71"/>
      <c r="K58" s="71"/>
      <c r="L58" s="71"/>
    </row>
    <row r="59" spans="1:27" x14ac:dyDescent="0.3">
      <c r="A59">
        <v>2</v>
      </c>
      <c r="B59" s="2" t="s">
        <v>8</v>
      </c>
      <c r="C59" s="71">
        <f>Z55</f>
        <v>0.77459699999999998</v>
      </c>
      <c r="E59" s="68">
        <f>-(1-C60)*(1-C61)</f>
        <v>-0.39999948759100001</v>
      </c>
      <c r="F59" s="75">
        <f>(1-C60)*(1-C61)</f>
        <v>0.39999948759100001</v>
      </c>
      <c r="G59" s="75">
        <f>(1+C60)*(1-C61)</f>
        <v>3.1491945124089997</v>
      </c>
      <c r="H59" s="75">
        <f>-(1+C60)*(1-C61)</f>
        <v>-3.1491945124089997</v>
      </c>
      <c r="I59" s="75">
        <f>-(1-C60)*(1+C61)</f>
        <v>-5.0806512409000006E-2</v>
      </c>
      <c r="J59" s="75">
        <f>(1-C60)*(1+C61)</f>
        <v>5.0806512409000006E-2</v>
      </c>
      <c r="K59" s="75">
        <f>(1+C60)*(1+C61)</f>
        <v>0.39999948759100001</v>
      </c>
      <c r="L59" s="76">
        <f>-(1+C60)*(1+C61)</f>
        <v>-0.39999948759100001</v>
      </c>
      <c r="N59" s="3">
        <f t="array" ref="N59:P61">MMULT(E59:L61,$B$3:$D$10)</f>
        <v>40.799998975182</v>
      </c>
      <c r="O59" s="4">
        <v>0</v>
      </c>
      <c r="P59" s="5">
        <v>-1.3016114875909999</v>
      </c>
      <c r="R59" s="3">
        <f t="shared" ref="R59:T61" si="9">$F$3*N59</f>
        <v>5.0999998718977499</v>
      </c>
      <c r="S59" s="4">
        <f t="shared" si="9"/>
        <v>0</v>
      </c>
      <c r="T59" s="5">
        <f t="shared" si="9"/>
        <v>-0.16270143594887498</v>
      </c>
      <c r="V59">
        <f>MDETERM(R59:T61)</f>
        <v>97.628365923652638</v>
      </c>
      <c r="X59">
        <f>V59*AA55*AA55*AA56</f>
        <v>16.740117613795036</v>
      </c>
    </row>
    <row r="60" spans="1:27" x14ac:dyDescent="0.3">
      <c r="B60" s="2" t="s">
        <v>9</v>
      </c>
      <c r="C60" s="71">
        <f>Z55</f>
        <v>0.77459699999999998</v>
      </c>
      <c r="E60" s="69">
        <f>-(1-C59)*(1-C61)</f>
        <v>-0.39999948759100001</v>
      </c>
      <c r="F60" s="77">
        <f>-(1+C59)*(1-C61)</f>
        <v>-3.1491945124089997</v>
      </c>
      <c r="G60" s="77">
        <f>(1+C59)*(1-C61)</f>
        <v>3.1491945124089997</v>
      </c>
      <c r="H60" s="77">
        <f>(1-C59)*(1-C61)</f>
        <v>0.39999948759100001</v>
      </c>
      <c r="I60" s="77">
        <f>-(1-C59)*(1+C61)</f>
        <v>-5.0806512409000006E-2</v>
      </c>
      <c r="J60" s="77">
        <f>-(1+C59)*(1+C61)</f>
        <v>-0.39999948759100001</v>
      </c>
      <c r="K60" s="77">
        <f>(1+C59)*(1+C61)</f>
        <v>0.39999948759100001</v>
      </c>
      <c r="L60" s="78">
        <f>(1-C59)*(1+C61)</f>
        <v>5.0806512409000006E-2</v>
      </c>
      <c r="N60" s="6">
        <v>-6.2983890248179968</v>
      </c>
      <c r="O60" s="7">
        <v>40</v>
      </c>
      <c r="P60" s="8">
        <v>-1.3016114875909996</v>
      </c>
      <c r="R60" s="6">
        <f t="shared" si="9"/>
        <v>-0.7872986281022496</v>
      </c>
      <c r="S60" s="7">
        <f t="shared" si="9"/>
        <v>5</v>
      </c>
      <c r="T60" s="8">
        <f t="shared" si="9"/>
        <v>-0.16270143594887496</v>
      </c>
    </row>
    <row r="61" spans="1:27" ht="15" thickBot="1" x14ac:dyDescent="0.35">
      <c r="B61" s="2" t="s">
        <v>10</v>
      </c>
      <c r="C61" s="71">
        <f>Z56</f>
        <v>-0.77459699999999998</v>
      </c>
      <c r="E61" s="70">
        <f>-(1-C59)*(1-C60)</f>
        <v>-5.0806512409000006E-2</v>
      </c>
      <c r="F61" s="79">
        <f>-(1+C59)*(1-C60)</f>
        <v>-0.39999948759100001</v>
      </c>
      <c r="G61" s="79">
        <f>-(1+C59)*(1+C60)</f>
        <v>-3.1491945124089997</v>
      </c>
      <c r="H61" s="79">
        <f>-(1-C59)*(1+C60)</f>
        <v>-0.39999948759100001</v>
      </c>
      <c r="I61" s="79">
        <f>(1-C59)*(1-C60)</f>
        <v>5.0806512409000006E-2</v>
      </c>
      <c r="J61" s="79">
        <f>(1+C59)*(1-C60)</f>
        <v>0.39999948759100001</v>
      </c>
      <c r="K61" s="79">
        <f>(1+C59)*(1+C60)</f>
        <v>3.1491945124089997</v>
      </c>
      <c r="L61" s="80">
        <f>(1-C59)*(1+C60)</f>
        <v>0.39999948759100001</v>
      </c>
      <c r="N61" s="9">
        <v>-0.79999897518200314</v>
      </c>
      <c r="O61" s="10">
        <v>-1.3322676295501878E-15</v>
      </c>
      <c r="P61" s="11">
        <v>30.654029487591</v>
      </c>
      <c r="R61" s="9">
        <f t="shared" si="9"/>
        <v>-9.9999871897750392E-2</v>
      </c>
      <c r="S61" s="10">
        <f t="shared" si="9"/>
        <v>-1.6653345369377348E-16</v>
      </c>
      <c r="T61" s="11">
        <f t="shared" si="9"/>
        <v>3.831753685948875</v>
      </c>
    </row>
    <row r="62" spans="1:27" ht="15" thickBot="1" x14ac:dyDescent="0.35">
      <c r="E62" s="71"/>
      <c r="F62" s="71"/>
      <c r="G62" s="71"/>
      <c r="H62" s="71"/>
      <c r="I62" s="71"/>
      <c r="J62" s="71"/>
      <c r="K62" s="71"/>
      <c r="L62" s="71"/>
    </row>
    <row r="63" spans="1:27" x14ac:dyDescent="0.3">
      <c r="A63">
        <v>3</v>
      </c>
      <c r="B63" s="2" t="s">
        <v>8</v>
      </c>
      <c r="C63" s="71">
        <f>Z55</f>
        <v>0.77459699999999998</v>
      </c>
      <c r="E63" s="68">
        <f>-(1-C64)*(1-C65)</f>
        <v>-0.22540300000000002</v>
      </c>
      <c r="F63" s="75">
        <f>(1-C64)*(1-C65)</f>
        <v>0.22540300000000002</v>
      </c>
      <c r="G63" s="75">
        <f>(1+C64)*(1-C65)</f>
        <v>1.774597</v>
      </c>
      <c r="H63" s="75">
        <f>-(1+C64)*(1-C65)</f>
        <v>-1.774597</v>
      </c>
      <c r="I63" s="75">
        <f>-(1-C64)*(1+C65)</f>
        <v>-0.22540300000000002</v>
      </c>
      <c r="J63" s="75">
        <f>(1-C64)*(1+C65)</f>
        <v>0.22540300000000002</v>
      </c>
      <c r="K63" s="75">
        <f>(1+C64)*(1+C65)</f>
        <v>1.774597</v>
      </c>
      <c r="L63" s="76">
        <f>-(1+C64)*(1+C65)</f>
        <v>-1.774597</v>
      </c>
      <c r="N63" s="3">
        <f t="array" ref="N63:P65">MMULT(E63:L65,$B$3:$D$10)</f>
        <v>40.450806</v>
      </c>
      <c r="O63" s="4">
        <v>0</v>
      </c>
      <c r="P63" s="5">
        <v>-5.774597</v>
      </c>
      <c r="R63" s="3">
        <f t="shared" ref="R63:T65" si="10">$F$3*N63</f>
        <v>5.05635075</v>
      </c>
      <c r="S63" s="4">
        <f t="shared" si="10"/>
        <v>0</v>
      </c>
      <c r="T63" s="5">
        <f t="shared" si="10"/>
        <v>-0.721824625</v>
      </c>
      <c r="V63">
        <f>MDETERM(R63:T65)</f>
        <v>96.512541268651077</v>
      </c>
      <c r="X63">
        <f>V63*AA55*AA55*AA57</f>
        <v>26.478063448189598</v>
      </c>
    </row>
    <row r="64" spans="1:27" x14ac:dyDescent="0.3">
      <c r="B64" s="2" t="s">
        <v>9</v>
      </c>
      <c r="C64" s="71">
        <f>Z55</f>
        <v>0.77459699999999998</v>
      </c>
      <c r="E64" s="69">
        <f>-(1-C63)*(1-C65)</f>
        <v>-0.22540300000000002</v>
      </c>
      <c r="F64" s="77">
        <f>-(1+C63)*(1-C65)</f>
        <v>-1.774597</v>
      </c>
      <c r="G64" s="77">
        <f>(1+C63)*(1-C65)</f>
        <v>1.774597</v>
      </c>
      <c r="H64" s="77">
        <f>(1-C63)*(1-C65)</f>
        <v>0.22540300000000002</v>
      </c>
      <c r="I64" s="77">
        <f>-(1-C63)*(1+C65)</f>
        <v>-0.22540300000000002</v>
      </c>
      <c r="J64" s="77">
        <f>-(1+C63)*(1+C65)</f>
        <v>-1.774597</v>
      </c>
      <c r="K64" s="77">
        <f>(1+C63)*(1+C65)</f>
        <v>1.774597</v>
      </c>
      <c r="L64" s="78">
        <f>(1-C63)*(1+C65)</f>
        <v>0.22540300000000002</v>
      </c>
      <c r="N64" s="6">
        <v>-3.549194</v>
      </c>
      <c r="O64" s="7">
        <v>40</v>
      </c>
      <c r="P64" s="8">
        <v>-5.774597</v>
      </c>
      <c r="R64" s="6">
        <f t="shared" si="10"/>
        <v>-0.44364924999999999</v>
      </c>
      <c r="S64" s="7">
        <f t="shared" si="10"/>
        <v>5</v>
      </c>
      <c r="T64" s="8">
        <f t="shared" si="10"/>
        <v>-0.721824625</v>
      </c>
    </row>
    <row r="65" spans="1:24" ht="15" thickBot="1" x14ac:dyDescent="0.35">
      <c r="B65" s="2" t="s">
        <v>10</v>
      </c>
      <c r="C65" s="71">
        <f>Z57</f>
        <v>0</v>
      </c>
      <c r="E65" s="70">
        <f>-(1-C63)*(1-C64)</f>
        <v>-5.0806512409000006E-2</v>
      </c>
      <c r="F65" s="79">
        <f>-(1+C63)*(1-C64)</f>
        <v>-0.39999948759100001</v>
      </c>
      <c r="G65" s="79">
        <f>-(1+C63)*(1+C64)</f>
        <v>-3.1491945124089997</v>
      </c>
      <c r="H65" s="79">
        <f>-(1-C63)*(1+C64)</f>
        <v>-0.39999948759100001</v>
      </c>
      <c r="I65" s="79">
        <f>(1-C63)*(1-C64)</f>
        <v>5.0806512409000006E-2</v>
      </c>
      <c r="J65" s="79">
        <f>(1+C63)*(1-C64)</f>
        <v>0.39999948759100001</v>
      </c>
      <c r="K65" s="79">
        <f>(1+C63)*(1+C64)</f>
        <v>3.1491945124089997</v>
      </c>
      <c r="L65" s="80">
        <f>(1-C63)*(1+C64)</f>
        <v>0.39999948759100001</v>
      </c>
      <c r="N65" s="9">
        <v>-0.79999897518200314</v>
      </c>
      <c r="O65" s="10">
        <v>-1.3322676295501878E-15</v>
      </c>
      <c r="P65" s="11">
        <v>30.654029487591</v>
      </c>
      <c r="R65" s="9">
        <f t="shared" si="10"/>
        <v>-9.9999871897750392E-2</v>
      </c>
      <c r="S65" s="10">
        <f t="shared" si="10"/>
        <v>-1.6653345369377348E-16</v>
      </c>
      <c r="T65" s="11">
        <f t="shared" si="10"/>
        <v>3.831753685948875</v>
      </c>
    </row>
    <row r="66" spans="1:24" ht="15" thickBot="1" x14ac:dyDescent="0.35">
      <c r="E66" s="71"/>
      <c r="F66" s="71"/>
      <c r="G66" s="71"/>
      <c r="H66" s="71"/>
      <c r="I66" s="71"/>
      <c r="J66" s="71"/>
      <c r="K66" s="71"/>
      <c r="L66" s="71"/>
    </row>
    <row r="67" spans="1:24" x14ac:dyDescent="0.3">
      <c r="A67">
        <v>4</v>
      </c>
      <c r="B67" s="2" t="s">
        <v>8</v>
      </c>
      <c r="C67" s="71">
        <f>Z55</f>
        <v>0.77459699999999998</v>
      </c>
      <c r="E67" s="68">
        <f>-(1-C68)*(1-C69)</f>
        <v>-0.39999948759100001</v>
      </c>
      <c r="F67" s="75">
        <f>(1-C68)*(1-C69)</f>
        <v>0.39999948759100001</v>
      </c>
      <c r="G67" s="75">
        <f>(1+C68)*(1-C69)</f>
        <v>5.0806512409000006E-2</v>
      </c>
      <c r="H67" s="75">
        <f>-(1+C68)*(1-C69)</f>
        <v>-5.0806512409000006E-2</v>
      </c>
      <c r="I67" s="75">
        <f>-(1-C68)*(1+C69)</f>
        <v>-3.1491945124089997</v>
      </c>
      <c r="J67" s="75">
        <f>(1-C68)*(1+C69)</f>
        <v>3.1491945124089997</v>
      </c>
      <c r="K67" s="75">
        <f>(1+C68)*(1+C69)</f>
        <v>0.39999948759100001</v>
      </c>
      <c r="L67" s="76">
        <f>-(1+C68)*(1+C69)</f>
        <v>-0.39999948759100001</v>
      </c>
      <c r="N67" s="3">
        <f t="array" ref="N67:P69">MMULT(E67:L69,$B$3:$D$10)</f>
        <v>40.799998975182</v>
      </c>
      <c r="O67" s="4">
        <v>0</v>
      </c>
      <c r="P67" s="5">
        <v>-7.4983874875909962</v>
      </c>
      <c r="R67" s="3">
        <f t="shared" ref="R67:T69" si="11">$F$3*N67</f>
        <v>5.0999998718977499</v>
      </c>
      <c r="S67" s="4">
        <f t="shared" si="11"/>
        <v>0</v>
      </c>
      <c r="T67" s="5">
        <f t="shared" si="11"/>
        <v>-0.93729843594887452</v>
      </c>
      <c r="V67">
        <f>MDETERM(R67:T69)</f>
        <v>122.53532959904828</v>
      </c>
      <c r="X67">
        <f>V67*AA55*AA56*AA55</f>
        <v>21.010858984747649</v>
      </c>
    </row>
    <row r="68" spans="1:24" x14ac:dyDescent="0.3">
      <c r="B68" s="2" t="s">
        <v>9</v>
      </c>
      <c r="C68" s="71">
        <f>Z56</f>
        <v>-0.77459699999999998</v>
      </c>
      <c r="E68" s="69">
        <f>-(1-C67)*(1-C69)</f>
        <v>-5.0806512409000006E-2</v>
      </c>
      <c r="F68" s="77">
        <f>-(1+C67)*(1-C69)</f>
        <v>-0.39999948759100001</v>
      </c>
      <c r="G68" s="77">
        <f>(1+C67)*(1-C69)</f>
        <v>0.39999948759100001</v>
      </c>
      <c r="H68" s="77">
        <f>(1-C67)*(1-C69)</f>
        <v>5.0806512409000006E-2</v>
      </c>
      <c r="I68" s="77">
        <f>-(1-C67)*(1+C69)</f>
        <v>-0.39999948759100001</v>
      </c>
      <c r="J68" s="77">
        <f>-(1+C67)*(1+C69)</f>
        <v>-3.1491945124089997</v>
      </c>
      <c r="K68" s="77">
        <f>(1+C67)*(1+C69)</f>
        <v>3.1491945124089997</v>
      </c>
      <c r="L68" s="78">
        <f>(1-C67)*(1+C69)</f>
        <v>0.39999948759100001</v>
      </c>
      <c r="N68" s="6">
        <v>-0.79999897518200314</v>
      </c>
      <c r="O68" s="7">
        <v>39.999999999999993</v>
      </c>
      <c r="P68" s="8">
        <v>-10.247582512409002</v>
      </c>
      <c r="R68" s="6">
        <f t="shared" si="11"/>
        <v>-9.9999871897750392E-2</v>
      </c>
      <c r="S68" s="7">
        <f t="shared" si="11"/>
        <v>4.9999999999999991</v>
      </c>
      <c r="T68" s="8">
        <f t="shared" si="11"/>
        <v>-1.2809478140511252</v>
      </c>
    </row>
    <row r="69" spans="1:24" ht="15" thickBot="1" x14ac:dyDescent="0.35">
      <c r="B69" s="2" t="s">
        <v>10</v>
      </c>
      <c r="C69" s="71">
        <f>Z55</f>
        <v>0.77459699999999998</v>
      </c>
      <c r="E69" s="70">
        <f>-(1-C67)*(1-C68)</f>
        <v>-0.39999948759100001</v>
      </c>
      <c r="F69" s="79">
        <f>-(1+C67)*(1-C68)</f>
        <v>-3.1491945124089997</v>
      </c>
      <c r="G69" s="79">
        <f>-(1+C67)*(1+C68)</f>
        <v>-0.39999948759100001</v>
      </c>
      <c r="H69" s="79">
        <f>-(1-C67)*(1+C68)</f>
        <v>-5.0806512409000006E-2</v>
      </c>
      <c r="I69" s="79">
        <f>(1-C67)*(1-C68)</f>
        <v>0.39999948759100001</v>
      </c>
      <c r="J69" s="79">
        <f>(1+C67)*(1-C68)</f>
        <v>3.1491945124089997</v>
      </c>
      <c r="K69" s="79">
        <f>(1+C67)*(1+C68)</f>
        <v>0.39999948759100001</v>
      </c>
      <c r="L69" s="80">
        <f>(1-C67)*(1+C68)</f>
        <v>5.0806512409000006E-2</v>
      </c>
      <c r="N69" s="9">
        <v>-6.298389024817995</v>
      </c>
      <c r="O69" s="10">
        <v>-2.2204460492503131E-16</v>
      </c>
      <c r="P69" s="11">
        <v>39.600000512409004</v>
      </c>
      <c r="R69" s="9">
        <f t="shared" si="11"/>
        <v>-0.78729862810224938</v>
      </c>
      <c r="S69" s="10">
        <f t="shared" si="11"/>
        <v>-2.7755575615628914E-17</v>
      </c>
      <c r="T69" s="11">
        <f t="shared" si="11"/>
        <v>4.9500000640511255</v>
      </c>
    </row>
    <row r="70" spans="1:24" ht="15" thickBot="1" x14ac:dyDescent="0.35">
      <c r="E70" s="71"/>
      <c r="F70" s="71"/>
      <c r="G70" s="71"/>
      <c r="H70" s="71"/>
      <c r="I70" s="71"/>
      <c r="J70" s="71"/>
      <c r="K70" s="71"/>
      <c r="L70" s="71"/>
    </row>
    <row r="71" spans="1:24" x14ac:dyDescent="0.3">
      <c r="A71">
        <v>5</v>
      </c>
      <c r="B71" s="2" t="s">
        <v>8</v>
      </c>
      <c r="C71" s="71">
        <f>Z55</f>
        <v>0.77459699999999998</v>
      </c>
      <c r="E71" s="68">
        <f>-(1-C72)*(1-C73)</f>
        <v>-3.1491945124089997</v>
      </c>
      <c r="F71" s="75">
        <f>(1-C72)*(1-C73)</f>
        <v>3.1491945124089997</v>
      </c>
      <c r="G71" s="75">
        <f>(1+C72)*(1-C73)</f>
        <v>0.39999948759100001</v>
      </c>
      <c r="H71" s="75">
        <f>-(1+C72)*(1-C73)</f>
        <v>-0.39999948759100001</v>
      </c>
      <c r="I71" s="75">
        <f>-(1-C72)*(1+C73)</f>
        <v>-0.39999948759100001</v>
      </c>
      <c r="J71" s="75">
        <f>(1-C72)*(1+C73)</f>
        <v>0.39999948759100001</v>
      </c>
      <c r="K71" s="75">
        <f>(1+C72)*(1+C73)</f>
        <v>5.0806512409000006E-2</v>
      </c>
      <c r="L71" s="76">
        <f>-(1+C72)*(1+C73)</f>
        <v>-5.0806512409000006E-2</v>
      </c>
      <c r="N71" s="3">
        <f t="array" ref="N71:P73">MMULT(E71:L73,$B$3:$D$10)</f>
        <v>46.298389024817993</v>
      </c>
      <c r="O71" s="4">
        <v>0</v>
      </c>
      <c r="P71" s="5">
        <v>-0.95241851240900011</v>
      </c>
      <c r="R71" s="3">
        <f t="shared" ref="R71:T73" si="12">$F$3*N71</f>
        <v>5.7872986281022492</v>
      </c>
      <c r="S71" s="4">
        <f t="shared" si="12"/>
        <v>0</v>
      </c>
      <c r="T71" s="5">
        <f t="shared" si="12"/>
        <v>-0.11905231405112501</v>
      </c>
      <c r="V71">
        <f>MDETERM(R71:T73)</f>
        <v>142.76699428132139</v>
      </c>
      <c r="X71">
        <f>V71*AA55*AA56*AA56</f>
        <v>24.479937291035906</v>
      </c>
    </row>
    <row r="72" spans="1:24" x14ac:dyDescent="0.3">
      <c r="B72" s="2" t="s">
        <v>9</v>
      </c>
      <c r="C72" s="71">
        <f>Z56</f>
        <v>-0.77459699999999998</v>
      </c>
      <c r="E72" s="69">
        <f>-(1-C71)*(1-C73)</f>
        <v>-0.39999948759100001</v>
      </c>
      <c r="F72" s="77">
        <f>-(1+C71)*(1-C73)</f>
        <v>-3.1491945124089997</v>
      </c>
      <c r="G72" s="77">
        <f>(1+C71)*(1-C73)</f>
        <v>3.1491945124089997</v>
      </c>
      <c r="H72" s="77">
        <f>(1-C71)*(1-C73)</f>
        <v>0.39999948759100001</v>
      </c>
      <c r="I72" s="77">
        <f>-(1-C71)*(1+C73)</f>
        <v>-5.0806512409000006E-2</v>
      </c>
      <c r="J72" s="77">
        <f>-(1+C71)*(1+C73)</f>
        <v>-0.39999948759100001</v>
      </c>
      <c r="K72" s="77">
        <f>(1+C71)*(1+C73)</f>
        <v>0.39999948759100001</v>
      </c>
      <c r="L72" s="78">
        <f>(1-C71)*(1+C73)</f>
        <v>5.0806512409000006E-2</v>
      </c>
      <c r="N72" s="6">
        <v>-6.2983890248179968</v>
      </c>
      <c r="O72" s="7">
        <v>40</v>
      </c>
      <c r="P72" s="8">
        <v>-1.3016114875909996</v>
      </c>
      <c r="R72" s="6">
        <f t="shared" si="12"/>
        <v>-0.7872986281022496</v>
      </c>
      <c r="S72" s="7">
        <f t="shared" si="12"/>
        <v>5</v>
      </c>
      <c r="T72" s="8">
        <f t="shared" si="12"/>
        <v>-0.16270143594887496</v>
      </c>
    </row>
    <row r="73" spans="1:24" ht="15" thickBot="1" x14ac:dyDescent="0.35">
      <c r="B73" s="2" t="s">
        <v>10</v>
      </c>
      <c r="C73" s="71">
        <f>Z56</f>
        <v>-0.77459699999999998</v>
      </c>
      <c r="E73" s="70">
        <f>-(1-C71)*(1-C72)</f>
        <v>-0.39999948759100001</v>
      </c>
      <c r="F73" s="79">
        <f>-(1+C71)*(1-C72)</f>
        <v>-3.1491945124089997</v>
      </c>
      <c r="G73" s="79">
        <f>-(1+C71)*(1+C72)</f>
        <v>-0.39999948759100001</v>
      </c>
      <c r="H73" s="79">
        <f>-(1-C71)*(1+C72)</f>
        <v>-5.0806512409000006E-2</v>
      </c>
      <c r="I73" s="79">
        <f>(1-C71)*(1-C72)</f>
        <v>0.39999948759100001</v>
      </c>
      <c r="J73" s="79">
        <f>(1+C71)*(1-C72)</f>
        <v>3.1491945124089997</v>
      </c>
      <c r="K73" s="79">
        <f>(1+C71)*(1+C72)</f>
        <v>0.39999948759100001</v>
      </c>
      <c r="L73" s="80">
        <f>(1-C71)*(1+C72)</f>
        <v>5.0806512409000006E-2</v>
      </c>
      <c r="N73" s="9">
        <v>-6.298389024817995</v>
      </c>
      <c r="O73" s="10">
        <v>-2.2204460492503131E-16</v>
      </c>
      <c r="P73" s="11">
        <v>39.600000512409004</v>
      </c>
      <c r="R73" s="9">
        <f t="shared" si="12"/>
        <v>-0.78729862810224938</v>
      </c>
      <c r="S73" s="10">
        <f t="shared" si="12"/>
        <v>-2.7755575615628914E-17</v>
      </c>
      <c r="T73" s="11">
        <f t="shared" si="12"/>
        <v>4.9500000640511255</v>
      </c>
    </row>
    <row r="74" spans="1:24" ht="15" thickBot="1" x14ac:dyDescent="0.35">
      <c r="E74" s="71"/>
      <c r="F74" s="71"/>
      <c r="G74" s="71"/>
      <c r="H74" s="71"/>
      <c r="I74" s="71"/>
      <c r="J74" s="71"/>
      <c r="K74" s="71"/>
      <c r="L74" s="71"/>
    </row>
    <row r="75" spans="1:24" x14ac:dyDescent="0.3">
      <c r="A75">
        <v>6</v>
      </c>
      <c r="B75" s="2" t="s">
        <v>8</v>
      </c>
      <c r="C75" s="71">
        <f>Z55</f>
        <v>0.77459699999999998</v>
      </c>
      <c r="E75" s="68">
        <f>-(1-C76)*(1-C77)</f>
        <v>-1.774597</v>
      </c>
      <c r="F75" s="75">
        <f>(1-C76)*(1-C77)</f>
        <v>1.774597</v>
      </c>
      <c r="G75" s="75">
        <f>(1+C76)*(1-C77)</f>
        <v>0.22540300000000002</v>
      </c>
      <c r="H75" s="75">
        <f>-(1+C76)*(1-C77)</f>
        <v>-0.22540300000000002</v>
      </c>
      <c r="I75" s="75">
        <f>-(1-C76)*(1+C77)</f>
        <v>-1.774597</v>
      </c>
      <c r="J75" s="75">
        <f>(1-C76)*(1+C77)</f>
        <v>1.774597</v>
      </c>
      <c r="K75" s="75">
        <f>(1+C76)*(1+C77)</f>
        <v>0.22540300000000002</v>
      </c>
      <c r="L75" s="76">
        <f>-(1+C76)*(1+C77)</f>
        <v>-0.22540300000000002</v>
      </c>
      <c r="N75" s="3">
        <f t="array" ref="N75:P77">MMULT(E75:L77,$B$3:$D$10)</f>
        <v>43.549194</v>
      </c>
      <c r="O75" s="4">
        <v>0</v>
      </c>
      <c r="P75" s="5">
        <v>-4.225403</v>
      </c>
      <c r="R75" s="3">
        <f t="shared" ref="R75:T77" si="13">$F$3*N75</f>
        <v>5.44364925</v>
      </c>
      <c r="S75" s="4">
        <f t="shared" si="13"/>
        <v>0</v>
      </c>
      <c r="T75" s="5">
        <f t="shared" si="13"/>
        <v>-0.528175375</v>
      </c>
      <c r="V75">
        <f>MDETERM(R75:T77)</f>
        <v>132.65116194018483</v>
      </c>
      <c r="X75">
        <f>V75*AA55*AA56*AA57</f>
        <v>36.392637020626843</v>
      </c>
    </row>
    <row r="76" spans="1:24" x14ac:dyDescent="0.3">
      <c r="B76" s="2" t="s">
        <v>9</v>
      </c>
      <c r="C76" s="71">
        <f>Z56</f>
        <v>-0.77459699999999998</v>
      </c>
      <c r="E76" s="69">
        <f>-(1-C75)*(1-C77)</f>
        <v>-0.22540300000000002</v>
      </c>
      <c r="F76" s="77">
        <f>-(1+C75)*(1-C77)</f>
        <v>-1.774597</v>
      </c>
      <c r="G76" s="77">
        <f>(1+C75)*(1-C77)</f>
        <v>1.774597</v>
      </c>
      <c r="H76" s="77">
        <f>(1-C75)*(1-C77)</f>
        <v>0.22540300000000002</v>
      </c>
      <c r="I76" s="77">
        <f>-(1-C75)*(1+C77)</f>
        <v>-0.22540300000000002</v>
      </c>
      <c r="J76" s="77">
        <f>-(1+C75)*(1+C77)</f>
        <v>-1.774597</v>
      </c>
      <c r="K76" s="77">
        <f>(1+C75)*(1+C77)</f>
        <v>1.774597</v>
      </c>
      <c r="L76" s="78">
        <f>(1-C75)*(1+C77)</f>
        <v>0.22540300000000002</v>
      </c>
      <c r="N76" s="6">
        <v>-3.549194</v>
      </c>
      <c r="O76" s="7">
        <v>40</v>
      </c>
      <c r="P76" s="8">
        <v>-5.774597</v>
      </c>
      <c r="R76" s="6">
        <f t="shared" si="13"/>
        <v>-0.44364924999999999</v>
      </c>
      <c r="S76" s="7">
        <f t="shared" si="13"/>
        <v>5</v>
      </c>
      <c r="T76" s="8">
        <f t="shared" si="13"/>
        <v>-0.721824625</v>
      </c>
    </row>
    <row r="77" spans="1:24" ht="15" thickBot="1" x14ac:dyDescent="0.35">
      <c r="B77" s="2" t="s">
        <v>10</v>
      </c>
      <c r="C77" s="71">
        <f>Z57</f>
        <v>0</v>
      </c>
      <c r="E77" s="70">
        <f>-(1-C75)*(1-C76)</f>
        <v>-0.39999948759100001</v>
      </c>
      <c r="F77" s="79">
        <f>-(1+C75)*(1-C76)</f>
        <v>-3.1491945124089997</v>
      </c>
      <c r="G77" s="79">
        <f>-(1+C75)*(1+C76)</f>
        <v>-0.39999948759100001</v>
      </c>
      <c r="H77" s="79">
        <f>-(1-C75)*(1+C76)</f>
        <v>-5.0806512409000006E-2</v>
      </c>
      <c r="I77" s="79">
        <f>(1-C75)*(1-C76)</f>
        <v>0.39999948759100001</v>
      </c>
      <c r="J77" s="79">
        <f>(1+C75)*(1-C76)</f>
        <v>3.1491945124089997</v>
      </c>
      <c r="K77" s="79">
        <f>(1+C75)*(1+C76)</f>
        <v>0.39999948759100001</v>
      </c>
      <c r="L77" s="80">
        <f>(1-C75)*(1+C76)</f>
        <v>5.0806512409000006E-2</v>
      </c>
      <c r="N77" s="9">
        <v>-6.298389024817995</v>
      </c>
      <c r="O77" s="10">
        <v>-2.2204460492503131E-16</v>
      </c>
      <c r="P77" s="11">
        <v>39.600000512409004</v>
      </c>
      <c r="R77" s="9">
        <f t="shared" si="13"/>
        <v>-0.78729862810224938</v>
      </c>
      <c r="S77" s="10">
        <f t="shared" si="13"/>
        <v>-2.7755575615628914E-17</v>
      </c>
      <c r="T77" s="11">
        <f t="shared" si="13"/>
        <v>4.9500000640511255</v>
      </c>
    </row>
    <row r="78" spans="1:24" ht="15" thickBot="1" x14ac:dyDescent="0.35">
      <c r="E78" s="71"/>
      <c r="F78" s="71"/>
      <c r="G78" s="71"/>
      <c r="H78" s="71"/>
      <c r="I78" s="71"/>
      <c r="J78" s="71"/>
      <c r="K78" s="71"/>
      <c r="L78" s="71"/>
    </row>
    <row r="79" spans="1:24" x14ac:dyDescent="0.3">
      <c r="A79">
        <v>7</v>
      </c>
      <c r="B79" s="2" t="s">
        <v>8</v>
      </c>
      <c r="C79" s="71">
        <f>Z55</f>
        <v>0.77459699999999998</v>
      </c>
      <c r="E79" s="68">
        <f>-(1-C80)*(1-C81)</f>
        <v>-0.22540300000000002</v>
      </c>
      <c r="F79" s="75">
        <f>(1-C80)*(1-C81)</f>
        <v>0.22540300000000002</v>
      </c>
      <c r="G79" s="75">
        <f>(1+C80)*(1-C81)</f>
        <v>0.22540300000000002</v>
      </c>
      <c r="H79" s="75">
        <f>-(1+C80)*(1-C81)</f>
        <v>-0.22540300000000002</v>
      </c>
      <c r="I79" s="75">
        <f>-(1-C80)*(1+C81)</f>
        <v>-1.774597</v>
      </c>
      <c r="J79" s="75">
        <f>(1-C80)*(1+C81)</f>
        <v>1.774597</v>
      </c>
      <c r="K79" s="75">
        <f>(1+C80)*(1+C81)</f>
        <v>1.774597</v>
      </c>
      <c r="L79" s="76">
        <f>-(1+C80)*(1+C81)</f>
        <v>-1.774597</v>
      </c>
      <c r="N79" s="3">
        <f t="array" ref="N79:P81">MMULT(E79:L81,$B$3:$D$10)</f>
        <v>40.450806</v>
      </c>
      <c r="O79" s="4">
        <v>0</v>
      </c>
      <c r="P79" s="5">
        <v>-8.8729849999999999</v>
      </c>
      <c r="R79" s="3">
        <f t="shared" ref="R79:T81" si="14">$F$3*N79</f>
        <v>5.05635075</v>
      </c>
      <c r="S79" s="4">
        <f t="shared" si="14"/>
        <v>0</v>
      </c>
      <c r="T79" s="5">
        <f t="shared" si="14"/>
        <v>-1.109123125</v>
      </c>
      <c r="V79">
        <f>MDETERM(R79:T81)</f>
        <v>108.54875968749998</v>
      </c>
      <c r="X79">
        <f>V79*AA55*AA57*AA55</f>
        <v>29.780180984224959</v>
      </c>
    </row>
    <row r="80" spans="1:24" x14ac:dyDescent="0.3">
      <c r="B80" s="2" t="s">
        <v>9</v>
      </c>
      <c r="C80" s="71">
        <f>Z57</f>
        <v>0</v>
      </c>
      <c r="E80" s="69">
        <f>-(1-C79)*(1-C81)</f>
        <v>-5.0806512409000006E-2</v>
      </c>
      <c r="F80" s="77">
        <f>-(1+C79)*(1-C81)</f>
        <v>-0.39999948759100001</v>
      </c>
      <c r="G80" s="77">
        <f>(1+C79)*(1-C81)</f>
        <v>0.39999948759100001</v>
      </c>
      <c r="H80" s="77">
        <f>(1-C79)*(1-C81)</f>
        <v>5.0806512409000006E-2</v>
      </c>
      <c r="I80" s="77">
        <f>-(1-C79)*(1+C81)</f>
        <v>-0.39999948759100001</v>
      </c>
      <c r="J80" s="77">
        <f>-(1+C79)*(1+C81)</f>
        <v>-3.1491945124089997</v>
      </c>
      <c r="K80" s="77">
        <f>(1+C79)*(1+C81)</f>
        <v>3.1491945124089997</v>
      </c>
      <c r="L80" s="78">
        <f>(1-C79)*(1+C81)</f>
        <v>0.39999948759100001</v>
      </c>
      <c r="N80" s="6">
        <v>-0.79999897518200314</v>
      </c>
      <c r="O80" s="7">
        <v>39.999999999999993</v>
      </c>
      <c r="P80" s="8">
        <v>-10.247582512409002</v>
      </c>
      <c r="R80" s="6">
        <f t="shared" si="14"/>
        <v>-9.9999871897750392E-2</v>
      </c>
      <c r="S80" s="7">
        <f t="shared" si="14"/>
        <v>4.9999999999999991</v>
      </c>
      <c r="T80" s="8">
        <f t="shared" si="14"/>
        <v>-1.2809478140511252</v>
      </c>
    </row>
    <row r="81" spans="1:27" ht="15" thickBot="1" x14ac:dyDescent="0.35">
      <c r="B81" s="2" t="s">
        <v>10</v>
      </c>
      <c r="C81" s="71">
        <f>Z55</f>
        <v>0.77459699999999998</v>
      </c>
      <c r="E81" s="70">
        <f>-(1-C79)*(1-C80)</f>
        <v>-0.22540300000000002</v>
      </c>
      <c r="F81" s="79">
        <f>-(1+C79)*(1-C80)</f>
        <v>-1.774597</v>
      </c>
      <c r="G81" s="79">
        <f>-(1+C79)*(1+C80)</f>
        <v>-1.774597</v>
      </c>
      <c r="H81" s="79">
        <f>-(1-C79)*(1+C80)</f>
        <v>-0.22540300000000002</v>
      </c>
      <c r="I81" s="79">
        <f>(1-C79)*(1-C80)</f>
        <v>0.22540300000000002</v>
      </c>
      <c r="J81" s="79">
        <f>(1+C79)*(1-C80)</f>
        <v>1.774597</v>
      </c>
      <c r="K81" s="79">
        <f>(1+C79)*(1+C80)</f>
        <v>1.774597</v>
      </c>
      <c r="L81" s="80">
        <f>(1-C79)*(1+C80)</f>
        <v>0.22540300000000002</v>
      </c>
      <c r="N81" s="9">
        <v>-3.549194</v>
      </c>
      <c r="O81" s="10">
        <v>0</v>
      </c>
      <c r="P81" s="11">
        <v>35.127015</v>
      </c>
      <c r="R81" s="9">
        <f t="shared" si="14"/>
        <v>-0.44364924999999999</v>
      </c>
      <c r="S81" s="10">
        <f t="shared" si="14"/>
        <v>0</v>
      </c>
      <c r="T81" s="11">
        <f t="shared" si="14"/>
        <v>4.390876875</v>
      </c>
    </row>
    <row r="82" spans="1:27" ht="15" thickBot="1" x14ac:dyDescent="0.35">
      <c r="E82" s="71"/>
      <c r="F82" s="71"/>
      <c r="G82" s="71"/>
      <c r="H82" s="71"/>
      <c r="I82" s="71"/>
      <c r="J82" s="71"/>
      <c r="K82" s="71"/>
      <c r="L82" s="71"/>
    </row>
    <row r="83" spans="1:27" x14ac:dyDescent="0.3">
      <c r="A83">
        <v>8</v>
      </c>
      <c r="B83" s="2" t="s">
        <v>8</v>
      </c>
      <c r="C83" s="71">
        <f>Z55</f>
        <v>0.77459699999999998</v>
      </c>
      <c r="E83" s="68">
        <f>-(1-C84)*(1-C85)</f>
        <v>-1.774597</v>
      </c>
      <c r="F83" s="75">
        <f>(1-C84)*(1-C85)</f>
        <v>1.774597</v>
      </c>
      <c r="G83" s="75">
        <f>(1+C84)*(1-C85)</f>
        <v>1.774597</v>
      </c>
      <c r="H83" s="75">
        <f>-(1+C84)*(1-C85)</f>
        <v>-1.774597</v>
      </c>
      <c r="I83" s="75">
        <f>-(1-C84)*(1+C85)</f>
        <v>-0.22540300000000002</v>
      </c>
      <c r="J83" s="75">
        <f>(1-C84)*(1+C85)</f>
        <v>0.22540300000000002</v>
      </c>
      <c r="K83" s="75">
        <f>(1+C84)*(1+C85)</f>
        <v>0.22540300000000002</v>
      </c>
      <c r="L83" s="76">
        <f>-(1+C84)*(1+C85)</f>
        <v>-0.22540300000000002</v>
      </c>
      <c r="N83" s="3">
        <f t="array" ref="N83:P85">MMULT(E83:L85,$B$3:$D$10)</f>
        <v>43.549194</v>
      </c>
      <c r="O83" s="4">
        <v>0</v>
      </c>
      <c r="P83" s="5">
        <v>-1.1270150000000001</v>
      </c>
      <c r="R83" s="3">
        <f t="shared" ref="R83:T85" si="15">$F$3*N83</f>
        <v>5.44364925</v>
      </c>
      <c r="S83" s="4">
        <f t="shared" si="15"/>
        <v>0</v>
      </c>
      <c r="T83" s="5">
        <f t="shared" si="15"/>
        <v>-0.14087687500000001</v>
      </c>
      <c r="V83">
        <f>MDETERM(R83:T85)</f>
        <v>119.1994684375</v>
      </c>
      <c r="X83">
        <f>V83*AA55*AA57*AA56</f>
        <v>32.702186128257893</v>
      </c>
    </row>
    <row r="84" spans="1:27" x14ac:dyDescent="0.3">
      <c r="B84" s="2" t="s">
        <v>9</v>
      </c>
      <c r="C84" s="71">
        <f>Z57</f>
        <v>0</v>
      </c>
      <c r="E84" s="69">
        <f>-(1-C83)*(1-C85)</f>
        <v>-0.39999948759100001</v>
      </c>
      <c r="F84" s="77">
        <f>-(1+C83)*(1-C85)</f>
        <v>-3.1491945124089997</v>
      </c>
      <c r="G84" s="77">
        <f>(1+C83)*(1-C85)</f>
        <v>3.1491945124089997</v>
      </c>
      <c r="H84" s="77">
        <f>(1-C83)*(1-C85)</f>
        <v>0.39999948759100001</v>
      </c>
      <c r="I84" s="77">
        <f>-(1-C83)*(1+C85)</f>
        <v>-5.0806512409000006E-2</v>
      </c>
      <c r="J84" s="77">
        <f>-(1+C83)*(1+C85)</f>
        <v>-0.39999948759100001</v>
      </c>
      <c r="K84" s="77">
        <f>(1+C83)*(1+C85)</f>
        <v>0.39999948759100001</v>
      </c>
      <c r="L84" s="78">
        <f>(1-C83)*(1+C85)</f>
        <v>5.0806512409000006E-2</v>
      </c>
      <c r="N84" s="6">
        <v>-6.2983890248179968</v>
      </c>
      <c r="O84" s="7">
        <v>40</v>
      </c>
      <c r="P84" s="8">
        <v>-1.3016114875909996</v>
      </c>
      <c r="R84" s="6">
        <f t="shared" si="15"/>
        <v>-0.7872986281022496</v>
      </c>
      <c r="S84" s="7">
        <f t="shared" si="15"/>
        <v>5</v>
      </c>
      <c r="T84" s="8">
        <f t="shared" si="15"/>
        <v>-0.16270143594887496</v>
      </c>
    </row>
    <row r="85" spans="1:27" ht="15" thickBot="1" x14ac:dyDescent="0.35">
      <c r="B85" s="2" t="s">
        <v>10</v>
      </c>
      <c r="C85" s="71">
        <f>Z56</f>
        <v>-0.77459699999999998</v>
      </c>
      <c r="E85" s="70">
        <f>-(1-C83)*(1-C84)</f>
        <v>-0.22540300000000002</v>
      </c>
      <c r="F85" s="79">
        <f>-(1+C83)*(1-C84)</f>
        <v>-1.774597</v>
      </c>
      <c r="G85" s="79">
        <f>-(1+C83)*(1+C84)</f>
        <v>-1.774597</v>
      </c>
      <c r="H85" s="79">
        <f>-(1-C83)*(1+C84)</f>
        <v>-0.22540300000000002</v>
      </c>
      <c r="I85" s="79">
        <f>(1-C83)*(1-C84)</f>
        <v>0.22540300000000002</v>
      </c>
      <c r="J85" s="79">
        <f>(1+C83)*(1-C84)</f>
        <v>1.774597</v>
      </c>
      <c r="K85" s="79">
        <f>(1+C83)*(1+C84)</f>
        <v>1.774597</v>
      </c>
      <c r="L85" s="80">
        <f>(1-C83)*(1+C84)</f>
        <v>0.22540300000000002</v>
      </c>
      <c r="N85" s="9">
        <v>-3.549194</v>
      </c>
      <c r="O85" s="10">
        <v>0</v>
      </c>
      <c r="P85" s="11">
        <v>35.127015</v>
      </c>
      <c r="R85" s="9">
        <f t="shared" si="15"/>
        <v>-0.44364924999999999</v>
      </c>
      <c r="S85" s="10">
        <f t="shared" si="15"/>
        <v>0</v>
      </c>
      <c r="T85" s="11">
        <f t="shared" si="15"/>
        <v>4.390876875</v>
      </c>
    </row>
    <row r="86" spans="1:27" ht="15" thickBot="1" x14ac:dyDescent="0.35">
      <c r="E86" s="71"/>
      <c r="F86" s="71"/>
      <c r="G86" s="71"/>
      <c r="H86" s="71"/>
      <c r="I86" s="71"/>
      <c r="J86" s="71"/>
      <c r="K86" s="71"/>
      <c r="L86" s="71"/>
    </row>
    <row r="87" spans="1:27" x14ac:dyDescent="0.3">
      <c r="A87">
        <v>9</v>
      </c>
      <c r="B87" s="2" t="s">
        <v>8</v>
      </c>
      <c r="C87" s="71">
        <f>Z87</f>
        <v>0.77459699999999998</v>
      </c>
      <c r="E87" s="68">
        <f>-(1-C88)*(1-C89)</f>
        <v>-1</v>
      </c>
      <c r="F87" s="75">
        <f>(1-C88)*(1-C89)</f>
        <v>1</v>
      </c>
      <c r="G87" s="75">
        <f>(1+C88)*(1-C89)</f>
        <v>1</v>
      </c>
      <c r="H87" s="75">
        <f>-(1+C88)*(1-C89)</f>
        <v>-1</v>
      </c>
      <c r="I87" s="75">
        <f>-(1-C88)*(1+C89)</f>
        <v>-1</v>
      </c>
      <c r="J87" s="75">
        <f>(1-C88)*(1+C89)</f>
        <v>1</v>
      </c>
      <c r="K87" s="75">
        <f>(1+C88)*(1+C89)</f>
        <v>1</v>
      </c>
      <c r="L87" s="76">
        <f>-(1+C88)*(1+C89)</f>
        <v>-1</v>
      </c>
      <c r="N87" s="3">
        <f t="array" ref="N87:P89">MMULT(E87:L89,$B$3:$D$10)</f>
        <v>42</v>
      </c>
      <c r="O87" s="4">
        <v>0</v>
      </c>
      <c r="P87" s="5">
        <v>-5</v>
      </c>
      <c r="R87" s="3">
        <f t="shared" ref="R87:T89" si="16">$F$3*N87</f>
        <v>5.25</v>
      </c>
      <c r="S87" s="4">
        <f t="shared" si="16"/>
        <v>0</v>
      </c>
      <c r="T87" s="5">
        <f t="shared" si="16"/>
        <v>-0.625</v>
      </c>
      <c r="V87">
        <f>MDETERM(R87:T89)</f>
        <v>113.87411406249998</v>
      </c>
      <c r="X87">
        <f>V87*AA89*AA89*AA87</f>
        <v>49.98589368998627</v>
      </c>
      <c r="Z87" s="68">
        <v>0.77459699999999998</v>
      </c>
      <c r="AA87" s="5">
        <f>5/9</f>
        <v>0.55555555555555558</v>
      </c>
    </row>
    <row r="88" spans="1:27" x14ac:dyDescent="0.3">
      <c r="B88" s="2" t="s">
        <v>9</v>
      </c>
      <c r="C88" s="71">
        <f>Z89</f>
        <v>0</v>
      </c>
      <c r="E88" s="69">
        <f>-(1-C87)*(1-C89)</f>
        <v>-0.22540300000000002</v>
      </c>
      <c r="F88" s="77">
        <f>-(1+C87)*(1-C89)</f>
        <v>-1.774597</v>
      </c>
      <c r="G88" s="77">
        <f>(1+C87)*(1-C89)</f>
        <v>1.774597</v>
      </c>
      <c r="H88" s="77">
        <f>(1-C87)*(1-C89)</f>
        <v>0.22540300000000002</v>
      </c>
      <c r="I88" s="77">
        <f>-(1-C87)*(1+C89)</f>
        <v>-0.22540300000000002</v>
      </c>
      <c r="J88" s="77">
        <f>-(1+C87)*(1+C89)</f>
        <v>-1.774597</v>
      </c>
      <c r="K88" s="77">
        <f>(1+C87)*(1+C89)</f>
        <v>1.774597</v>
      </c>
      <c r="L88" s="78">
        <f>(1-C87)*(1+C89)</f>
        <v>0.22540300000000002</v>
      </c>
      <c r="N88" s="6">
        <v>-3.549194</v>
      </c>
      <c r="O88" s="7">
        <v>40</v>
      </c>
      <c r="P88" s="8">
        <v>-5.774597</v>
      </c>
      <c r="R88" s="6">
        <f t="shared" si="16"/>
        <v>-0.44364924999999999</v>
      </c>
      <c r="S88" s="7">
        <f t="shared" si="16"/>
        <v>5</v>
      </c>
      <c r="T88" s="8">
        <f t="shared" si="16"/>
        <v>-0.721824625</v>
      </c>
      <c r="Z88" s="69">
        <v>-0.77459699999999998</v>
      </c>
      <c r="AA88" s="8">
        <f>5/9</f>
        <v>0.55555555555555558</v>
      </c>
    </row>
    <row r="89" spans="1:27" ht="15" thickBot="1" x14ac:dyDescent="0.35">
      <c r="B89" s="2" t="s">
        <v>10</v>
      </c>
      <c r="C89" s="71">
        <f>Z89</f>
        <v>0</v>
      </c>
      <c r="E89" s="70">
        <f>-(1-C87)*(1-C88)</f>
        <v>-0.22540300000000002</v>
      </c>
      <c r="F89" s="79">
        <f>-(1+C87)*(1-C88)</f>
        <v>-1.774597</v>
      </c>
      <c r="G89" s="79">
        <f>-(1+C87)*(1+C88)</f>
        <v>-1.774597</v>
      </c>
      <c r="H89" s="79">
        <f>-(1-C87)*(1+C88)</f>
        <v>-0.22540300000000002</v>
      </c>
      <c r="I89" s="79">
        <f>(1-C87)*(1-C88)</f>
        <v>0.22540300000000002</v>
      </c>
      <c r="J89" s="79">
        <f>(1+C87)*(1-C88)</f>
        <v>1.774597</v>
      </c>
      <c r="K89" s="79">
        <f>(1+C87)*(1+C88)</f>
        <v>1.774597</v>
      </c>
      <c r="L89" s="80">
        <f>(1-C87)*(1+C88)</f>
        <v>0.22540300000000002</v>
      </c>
      <c r="N89" s="9">
        <v>-3.549194</v>
      </c>
      <c r="O89" s="10">
        <v>0</v>
      </c>
      <c r="P89" s="11">
        <v>35.127015</v>
      </c>
      <c r="R89" s="9">
        <f t="shared" si="16"/>
        <v>-0.44364924999999999</v>
      </c>
      <c r="S89" s="10">
        <f t="shared" si="16"/>
        <v>0</v>
      </c>
      <c r="T89" s="11">
        <f t="shared" si="16"/>
        <v>4.390876875</v>
      </c>
      <c r="Z89" s="70">
        <v>0</v>
      </c>
      <c r="AA89" s="11">
        <f>8/9</f>
        <v>0.88888888888888884</v>
      </c>
    </row>
    <row r="90" spans="1:27" ht="15" thickBot="1" x14ac:dyDescent="0.35">
      <c r="E90" s="71"/>
      <c r="F90" s="71"/>
      <c r="G90" s="71"/>
      <c r="H90" s="71"/>
      <c r="I90" s="71"/>
      <c r="J90" s="71"/>
      <c r="K90" s="71"/>
      <c r="L90" s="71"/>
    </row>
    <row r="91" spans="1:27" x14ac:dyDescent="0.3">
      <c r="A91">
        <v>10</v>
      </c>
      <c r="B91" s="2" t="s">
        <v>8</v>
      </c>
      <c r="C91" s="71">
        <f>Z88</f>
        <v>-0.77459699999999998</v>
      </c>
      <c r="E91" s="68">
        <f>-(1-C92)*(1-C93)</f>
        <v>-5.0806512409000006E-2</v>
      </c>
      <c r="F91" s="75">
        <f>(1-C92)*(1-C93)</f>
        <v>5.0806512409000006E-2</v>
      </c>
      <c r="G91" s="75">
        <f>(1+C92)*(1-C93)</f>
        <v>0.39999948759100001</v>
      </c>
      <c r="H91" s="75">
        <f>-(1+C92)*(1-C93)</f>
        <v>-0.39999948759100001</v>
      </c>
      <c r="I91" s="75">
        <f>-(1-C92)*(1+C93)</f>
        <v>-0.39999948759100001</v>
      </c>
      <c r="J91" s="75">
        <f>(1-C92)*(1+C93)</f>
        <v>0.39999948759100001</v>
      </c>
      <c r="K91" s="75">
        <f>(1+C92)*(1+C93)</f>
        <v>3.1491945124089997</v>
      </c>
      <c r="L91" s="76">
        <f>-(1+C92)*(1+C93)</f>
        <v>-3.1491945124089997</v>
      </c>
      <c r="N91" s="3">
        <f t="array" ref="N91:P93">MMULT(E91:L93,$B$3:$D$10)</f>
        <v>40.101613024818</v>
      </c>
      <c r="O91" s="4">
        <v>0</v>
      </c>
      <c r="P91" s="5">
        <v>-10.247582512409</v>
      </c>
      <c r="R91" s="3">
        <f t="shared" ref="R91:T93" si="17">$F$3*N91</f>
        <v>5.0127016281022501</v>
      </c>
      <c r="S91" s="4">
        <f t="shared" si="17"/>
        <v>0</v>
      </c>
      <c r="T91" s="5">
        <f t="shared" si="17"/>
        <v>-1.280947814051125</v>
      </c>
      <c r="V91">
        <f>MDETERM(R91:T93)</f>
        <v>123.98301628711424</v>
      </c>
      <c r="X91">
        <f>V91*AA88*AA87*AA87</f>
        <v>21.259090584210263</v>
      </c>
    </row>
    <row r="92" spans="1:27" x14ac:dyDescent="0.3">
      <c r="B92" s="2" t="s">
        <v>9</v>
      </c>
      <c r="C92" s="71">
        <f>Z87</f>
        <v>0.77459699999999998</v>
      </c>
      <c r="E92" s="69">
        <f>-(1-C91)*(1-C93)</f>
        <v>-0.39999948759100001</v>
      </c>
      <c r="F92" s="77">
        <f>-(1+C91)*(1-C93)</f>
        <v>-5.0806512409000006E-2</v>
      </c>
      <c r="G92" s="77">
        <f>(1+C91)*(1-C93)</f>
        <v>5.0806512409000006E-2</v>
      </c>
      <c r="H92" s="77">
        <f>(1-C91)*(1-C93)</f>
        <v>0.39999948759100001</v>
      </c>
      <c r="I92" s="77">
        <f>-(1-C91)*(1+C93)</f>
        <v>-3.1491945124089997</v>
      </c>
      <c r="J92" s="77">
        <f>-(1+C91)*(1+C93)</f>
        <v>-0.39999948759100001</v>
      </c>
      <c r="K92" s="77">
        <f>(1+C91)*(1+C93)</f>
        <v>0.39999948759100001</v>
      </c>
      <c r="L92" s="78">
        <f>(1-C91)*(1+C93)</f>
        <v>3.1491945124089997</v>
      </c>
      <c r="N92" s="6">
        <v>-0.10161302481800005</v>
      </c>
      <c r="O92" s="7">
        <v>40</v>
      </c>
      <c r="P92" s="8">
        <v>-7.4983874875909926</v>
      </c>
      <c r="R92" s="6">
        <f t="shared" si="17"/>
        <v>-1.2701628102250007E-2</v>
      </c>
      <c r="S92" s="7">
        <f t="shared" si="17"/>
        <v>5</v>
      </c>
      <c r="T92" s="8">
        <f t="shared" si="17"/>
        <v>-0.93729843594887408</v>
      </c>
    </row>
    <row r="93" spans="1:27" ht="15" thickBot="1" x14ac:dyDescent="0.35">
      <c r="B93" s="2" t="s">
        <v>10</v>
      </c>
      <c r="C93" s="71">
        <f>Z87</f>
        <v>0.77459699999999998</v>
      </c>
      <c r="E93" s="70">
        <f>-(1-C91)*(1-C92)</f>
        <v>-0.39999948759100001</v>
      </c>
      <c r="F93" s="79">
        <f>-(1+C91)*(1-C92)</f>
        <v>-5.0806512409000006E-2</v>
      </c>
      <c r="G93" s="79">
        <f>-(1+C91)*(1+C92)</f>
        <v>-0.39999948759100001</v>
      </c>
      <c r="H93" s="79">
        <f>-(1-C91)*(1+C92)</f>
        <v>-3.1491945124089997</v>
      </c>
      <c r="I93" s="79">
        <f>(1-C91)*(1-C92)</f>
        <v>0.39999948759100001</v>
      </c>
      <c r="J93" s="79">
        <f>(1+C91)*(1-C92)</f>
        <v>5.0806512409000006E-2</v>
      </c>
      <c r="K93" s="79">
        <f>(1+C91)*(1+C92)</f>
        <v>0.39999948759100001</v>
      </c>
      <c r="L93" s="80">
        <f>(1-C91)*(1+C92)</f>
        <v>3.1491945124089997</v>
      </c>
      <c r="N93" s="9">
        <v>-0.10161302481800005</v>
      </c>
      <c r="O93" s="10">
        <v>0</v>
      </c>
      <c r="P93" s="11">
        <v>39.600000512408997</v>
      </c>
      <c r="R93" s="9">
        <f t="shared" si="17"/>
        <v>-1.2701628102250007E-2</v>
      </c>
      <c r="S93" s="10">
        <f t="shared" si="17"/>
        <v>0</v>
      </c>
      <c r="T93" s="11">
        <f t="shared" si="17"/>
        <v>4.9500000640511246</v>
      </c>
    </row>
    <row r="94" spans="1:27" ht="15" thickBot="1" x14ac:dyDescent="0.35">
      <c r="E94" s="71"/>
      <c r="F94" s="71"/>
      <c r="G94" s="71"/>
      <c r="H94" s="71"/>
      <c r="I94" s="71"/>
      <c r="J94" s="71"/>
      <c r="K94" s="71"/>
      <c r="L94" s="71"/>
    </row>
    <row r="95" spans="1:27" x14ac:dyDescent="0.3">
      <c r="A95">
        <v>11</v>
      </c>
      <c r="B95" s="2" t="s">
        <v>8</v>
      </c>
      <c r="C95" s="71">
        <f>Z88</f>
        <v>-0.77459699999999998</v>
      </c>
      <c r="E95" s="68">
        <f>-(1-C96)*(1-C97)</f>
        <v>-0.39999948759100001</v>
      </c>
      <c r="F95" s="75">
        <f>(1-C96)*(1-C97)</f>
        <v>0.39999948759100001</v>
      </c>
      <c r="G95" s="75">
        <f>(1+C96)*(1-C97)</f>
        <v>3.1491945124089997</v>
      </c>
      <c r="H95" s="75">
        <f>-(1+C96)*(1-C97)</f>
        <v>-3.1491945124089997</v>
      </c>
      <c r="I95" s="75">
        <f>-(1-C96)*(1+C97)</f>
        <v>-5.0806512409000006E-2</v>
      </c>
      <c r="J95" s="75">
        <f>(1-C96)*(1+C97)</f>
        <v>5.0806512409000006E-2</v>
      </c>
      <c r="K95" s="75">
        <f>(1+C96)*(1+C97)</f>
        <v>0.39999948759100001</v>
      </c>
      <c r="L95" s="76">
        <f>-(1+C96)*(1+C97)</f>
        <v>-0.39999948759100001</v>
      </c>
      <c r="N95" s="3">
        <f t="array" ref="N95:P97">MMULT(E95:L97,$B$3:$D$10)</f>
        <v>40.799998975182</v>
      </c>
      <c r="O95" s="4">
        <v>0</v>
      </c>
      <c r="P95" s="5">
        <v>-1.3016114875909999</v>
      </c>
      <c r="R95" s="3">
        <f t="shared" ref="R95:T97" si="18">$F$3*N95</f>
        <v>5.0999998718977499</v>
      </c>
      <c r="S95" s="4">
        <f t="shared" si="18"/>
        <v>0</v>
      </c>
      <c r="T95" s="5">
        <f t="shared" si="18"/>
        <v>-0.16270143594887498</v>
      </c>
      <c r="V95">
        <f>MDETERM(R95:T97)</f>
        <v>126.21466559711733</v>
      </c>
      <c r="X95">
        <f>V95*AA88*AA87*AA88</f>
        <v>21.641746501563333</v>
      </c>
    </row>
    <row r="96" spans="1:27" x14ac:dyDescent="0.3">
      <c r="B96" s="2" t="s">
        <v>9</v>
      </c>
      <c r="C96" s="71">
        <f>Z87</f>
        <v>0.77459699999999998</v>
      </c>
      <c r="E96" s="69">
        <f>-(1-C95)*(1-C97)</f>
        <v>-3.1491945124089997</v>
      </c>
      <c r="F96" s="77">
        <f>-(1+C95)*(1-C97)</f>
        <v>-0.39999948759100001</v>
      </c>
      <c r="G96" s="77">
        <f>(1+C95)*(1-C97)</f>
        <v>0.39999948759100001</v>
      </c>
      <c r="H96" s="77">
        <f>(1-C95)*(1-C97)</f>
        <v>3.1491945124089997</v>
      </c>
      <c r="I96" s="77">
        <f>-(1-C95)*(1+C97)</f>
        <v>-0.39999948759100001</v>
      </c>
      <c r="J96" s="77">
        <f>-(1+C95)*(1+C97)</f>
        <v>-5.0806512409000006E-2</v>
      </c>
      <c r="K96" s="77">
        <f>(1+C95)*(1+C97)</f>
        <v>5.0806512409000006E-2</v>
      </c>
      <c r="L96" s="78">
        <f>(1-C95)*(1+C97)</f>
        <v>0.39999948759100001</v>
      </c>
      <c r="N96" s="6">
        <v>-0.79999897518200003</v>
      </c>
      <c r="O96" s="7">
        <v>40</v>
      </c>
      <c r="P96" s="8">
        <v>-0.95241851240899988</v>
      </c>
      <c r="R96" s="6">
        <f t="shared" si="18"/>
        <v>-9.9999871897750003E-2</v>
      </c>
      <c r="S96" s="7">
        <f t="shared" si="18"/>
        <v>5</v>
      </c>
      <c r="T96" s="8">
        <f t="shared" si="18"/>
        <v>-0.11905231405112499</v>
      </c>
    </row>
    <row r="97" spans="1:24" ht="15" thickBot="1" x14ac:dyDescent="0.35">
      <c r="B97" s="2" t="s">
        <v>10</v>
      </c>
      <c r="C97" s="71">
        <f>Z88</f>
        <v>-0.77459699999999998</v>
      </c>
      <c r="E97" s="70">
        <f>-(1-C95)*(1-C96)</f>
        <v>-0.39999948759100001</v>
      </c>
      <c r="F97" s="79">
        <f>-(1+C95)*(1-C96)</f>
        <v>-5.0806512409000006E-2</v>
      </c>
      <c r="G97" s="79">
        <f>-(1+C95)*(1+C96)</f>
        <v>-0.39999948759100001</v>
      </c>
      <c r="H97" s="79">
        <f>-(1-C95)*(1+C96)</f>
        <v>-3.1491945124089997</v>
      </c>
      <c r="I97" s="79">
        <f>(1-C95)*(1-C96)</f>
        <v>0.39999948759100001</v>
      </c>
      <c r="J97" s="79">
        <f>(1+C95)*(1-C96)</f>
        <v>5.0806512409000006E-2</v>
      </c>
      <c r="K97" s="79">
        <f>(1+C95)*(1+C96)</f>
        <v>0.39999948759100001</v>
      </c>
      <c r="L97" s="80">
        <f>(1-C95)*(1+C96)</f>
        <v>3.1491945124089997</v>
      </c>
      <c r="N97" s="9">
        <v>-0.10161302481800005</v>
      </c>
      <c r="O97" s="10">
        <v>0</v>
      </c>
      <c r="P97" s="11">
        <v>39.600000512408997</v>
      </c>
      <c r="R97" s="9">
        <f t="shared" si="18"/>
        <v>-1.2701628102250007E-2</v>
      </c>
      <c r="S97" s="10">
        <f t="shared" si="18"/>
        <v>0</v>
      </c>
      <c r="T97" s="11">
        <f t="shared" si="18"/>
        <v>4.9500000640511246</v>
      </c>
    </row>
    <row r="98" spans="1:24" ht="15" thickBot="1" x14ac:dyDescent="0.35">
      <c r="E98" s="71"/>
      <c r="F98" s="71"/>
      <c r="G98" s="71"/>
      <c r="H98" s="71"/>
      <c r="I98" s="71"/>
      <c r="J98" s="71"/>
      <c r="K98" s="71"/>
      <c r="L98" s="71"/>
    </row>
    <row r="99" spans="1:24" x14ac:dyDescent="0.3">
      <c r="A99">
        <v>12</v>
      </c>
      <c r="B99" s="2" t="s">
        <v>8</v>
      </c>
      <c r="C99" s="71">
        <f>Z88</f>
        <v>-0.77459699999999998</v>
      </c>
      <c r="E99" s="68">
        <f>-(1-C100)*(1-C101)</f>
        <v>-0.22540300000000002</v>
      </c>
      <c r="F99" s="75">
        <f>(1-C100)*(1-C101)</f>
        <v>0.22540300000000002</v>
      </c>
      <c r="G99" s="75">
        <f>(1+C100)*(1-C101)</f>
        <v>1.774597</v>
      </c>
      <c r="H99" s="75">
        <f>-(1+C100)*(1-C101)</f>
        <v>-1.774597</v>
      </c>
      <c r="I99" s="75">
        <f>-(1-C100)*(1+C101)</f>
        <v>-0.22540300000000002</v>
      </c>
      <c r="J99" s="75">
        <f>(1-C100)*(1+C101)</f>
        <v>0.22540300000000002</v>
      </c>
      <c r="K99" s="75">
        <f>(1+C100)*(1+C101)</f>
        <v>1.774597</v>
      </c>
      <c r="L99" s="76">
        <f>-(1+C100)*(1+C101)</f>
        <v>-1.774597</v>
      </c>
      <c r="N99" s="3">
        <f t="array" ref="N99:P101">MMULT(E99:L101,$B$3:$D$10)</f>
        <v>40.450806</v>
      </c>
      <c r="O99" s="4">
        <v>0</v>
      </c>
      <c r="P99" s="5">
        <v>-5.774597</v>
      </c>
      <c r="R99" s="3">
        <f t="shared" ref="R99:T101" si="19">$F$3*N99</f>
        <v>5.05635075</v>
      </c>
      <c r="S99" s="4">
        <f t="shared" si="19"/>
        <v>0</v>
      </c>
      <c r="T99" s="5">
        <f t="shared" si="19"/>
        <v>-0.721824625</v>
      </c>
      <c r="V99">
        <f>MDETERM(R99:T101)</f>
        <v>125.09884094211577</v>
      </c>
      <c r="X99">
        <f>V99*AA88*AA87*AA89</f>
        <v>34.320669668618869</v>
      </c>
    </row>
    <row r="100" spans="1:24" x14ac:dyDescent="0.3">
      <c r="B100" s="2" t="s">
        <v>9</v>
      </c>
      <c r="C100" s="71">
        <f>Z87</f>
        <v>0.77459699999999998</v>
      </c>
      <c r="E100" s="69">
        <f>-(1-C99)*(1-C101)</f>
        <v>-1.774597</v>
      </c>
      <c r="F100" s="77">
        <f>-(1+C99)*(1-C101)</f>
        <v>-0.22540300000000002</v>
      </c>
      <c r="G100" s="77">
        <f>(1+C99)*(1-C101)</f>
        <v>0.22540300000000002</v>
      </c>
      <c r="H100" s="77">
        <f>(1-C99)*(1-C101)</f>
        <v>1.774597</v>
      </c>
      <c r="I100" s="77">
        <f>-(1-C99)*(1+C101)</f>
        <v>-1.774597</v>
      </c>
      <c r="J100" s="77">
        <f>-(1+C99)*(1+C101)</f>
        <v>-0.22540300000000002</v>
      </c>
      <c r="K100" s="77">
        <f>(1+C99)*(1+C101)</f>
        <v>0.22540300000000002</v>
      </c>
      <c r="L100" s="78">
        <f>(1-C99)*(1+C101)</f>
        <v>1.774597</v>
      </c>
      <c r="N100" s="6">
        <v>-0.45080600000000004</v>
      </c>
      <c r="O100" s="7">
        <v>40</v>
      </c>
      <c r="P100" s="8">
        <v>-4.225403</v>
      </c>
      <c r="R100" s="6">
        <f t="shared" si="19"/>
        <v>-5.6350750000000005E-2</v>
      </c>
      <c r="S100" s="7">
        <f t="shared" si="19"/>
        <v>5</v>
      </c>
      <c r="T100" s="8">
        <f t="shared" si="19"/>
        <v>-0.528175375</v>
      </c>
    </row>
    <row r="101" spans="1:24" ht="15" thickBot="1" x14ac:dyDescent="0.35">
      <c r="B101" s="2" t="s">
        <v>10</v>
      </c>
      <c r="C101" s="71">
        <f>Z89</f>
        <v>0</v>
      </c>
      <c r="E101" s="70">
        <f>-(1-C99)*(1-C100)</f>
        <v>-0.39999948759100001</v>
      </c>
      <c r="F101" s="79">
        <f>-(1+C99)*(1-C100)</f>
        <v>-5.0806512409000006E-2</v>
      </c>
      <c r="G101" s="79">
        <f>-(1+C99)*(1+C100)</f>
        <v>-0.39999948759100001</v>
      </c>
      <c r="H101" s="79">
        <f>-(1-C99)*(1+C100)</f>
        <v>-3.1491945124089997</v>
      </c>
      <c r="I101" s="79">
        <f>(1-C99)*(1-C100)</f>
        <v>0.39999948759100001</v>
      </c>
      <c r="J101" s="79">
        <f>(1+C99)*(1-C100)</f>
        <v>5.0806512409000006E-2</v>
      </c>
      <c r="K101" s="79">
        <f>(1+C99)*(1+C100)</f>
        <v>0.39999948759100001</v>
      </c>
      <c r="L101" s="80">
        <f>(1-C99)*(1+C100)</f>
        <v>3.1491945124089997</v>
      </c>
      <c r="N101" s="9">
        <v>-0.10161302481800005</v>
      </c>
      <c r="O101" s="10">
        <v>0</v>
      </c>
      <c r="P101" s="11">
        <v>39.600000512408997</v>
      </c>
      <c r="R101" s="9">
        <f t="shared" si="19"/>
        <v>-1.2701628102250007E-2</v>
      </c>
      <c r="S101" s="10">
        <f t="shared" si="19"/>
        <v>0</v>
      </c>
      <c r="T101" s="11">
        <f t="shared" si="19"/>
        <v>4.9500000640511246</v>
      </c>
    </row>
    <row r="102" spans="1:24" ht="15" thickBot="1" x14ac:dyDescent="0.35">
      <c r="E102" s="71"/>
      <c r="F102" s="71"/>
      <c r="G102" s="71"/>
      <c r="H102" s="71"/>
      <c r="I102" s="71"/>
      <c r="J102" s="71"/>
      <c r="K102" s="71"/>
      <c r="L102" s="71"/>
    </row>
    <row r="103" spans="1:24" x14ac:dyDescent="0.3">
      <c r="A103">
        <v>13</v>
      </c>
      <c r="B103" s="2" t="s">
        <v>8</v>
      </c>
      <c r="C103" s="71">
        <f>Z88</f>
        <v>-0.77459699999999998</v>
      </c>
      <c r="E103" s="68">
        <f>-(1-C104)*(1-C105)</f>
        <v>-0.39999948759100001</v>
      </c>
      <c r="F103" s="75">
        <f>(1-C104)*(1-C105)</f>
        <v>0.39999948759100001</v>
      </c>
      <c r="G103" s="75">
        <f>(1+C104)*(1-C105)</f>
        <v>5.0806512409000006E-2</v>
      </c>
      <c r="H103" s="75">
        <f>-(1+C104)*(1-C105)</f>
        <v>-5.0806512409000006E-2</v>
      </c>
      <c r="I103" s="75">
        <f>-(1-C104)*(1+C105)</f>
        <v>-3.1491945124089997</v>
      </c>
      <c r="J103" s="75">
        <f>(1-C104)*(1+C105)</f>
        <v>3.1491945124089997</v>
      </c>
      <c r="K103" s="75">
        <f>(1+C104)*(1+C105)</f>
        <v>0.39999948759100001</v>
      </c>
      <c r="L103" s="76">
        <f>-(1+C104)*(1+C105)</f>
        <v>-0.39999948759100001</v>
      </c>
      <c r="N103" s="3">
        <f t="array" ref="N103:P105">MMULT(E103:L105,$B$3:$D$10)</f>
        <v>40.799998975182</v>
      </c>
      <c r="O103" s="4">
        <v>0</v>
      </c>
      <c r="P103" s="5">
        <v>-7.4983874875909962</v>
      </c>
      <c r="R103" s="3">
        <f t="shared" ref="R103:T105" si="20">$F$3*N103</f>
        <v>5.0999998718977499</v>
      </c>
      <c r="S103" s="4">
        <f t="shared" si="20"/>
        <v>0</v>
      </c>
      <c r="T103" s="5">
        <f t="shared" si="20"/>
        <v>-0.93729843594887452</v>
      </c>
      <c r="V103">
        <f>MDETERM(R103:T105)</f>
        <v>146.62162542944546</v>
      </c>
      <c r="X103">
        <f>V103*AA88*AA88*AA87</f>
        <v>25.140882275282145</v>
      </c>
    </row>
    <row r="104" spans="1:24" x14ac:dyDescent="0.3">
      <c r="B104" s="2" t="s">
        <v>9</v>
      </c>
      <c r="C104" s="71">
        <f>Z88</f>
        <v>-0.77459699999999998</v>
      </c>
      <c r="E104" s="69">
        <f>-(1-C103)*(1-C105)</f>
        <v>-0.39999948759100001</v>
      </c>
      <c r="F104" s="77">
        <f>-(1+C103)*(1-C105)</f>
        <v>-5.0806512409000006E-2</v>
      </c>
      <c r="G104" s="77">
        <f>(1+C103)*(1-C105)</f>
        <v>5.0806512409000006E-2</v>
      </c>
      <c r="H104" s="77">
        <f>(1-C103)*(1-C105)</f>
        <v>0.39999948759100001</v>
      </c>
      <c r="I104" s="77">
        <f>-(1-C103)*(1+C105)</f>
        <v>-3.1491945124089997</v>
      </c>
      <c r="J104" s="77">
        <f>-(1+C103)*(1+C105)</f>
        <v>-0.39999948759100001</v>
      </c>
      <c r="K104" s="77">
        <f>(1+C103)*(1+C105)</f>
        <v>0.39999948759100001</v>
      </c>
      <c r="L104" s="78">
        <f>(1-C103)*(1+C105)</f>
        <v>3.1491945124089997</v>
      </c>
      <c r="N104" s="6">
        <v>-0.10161302481800005</v>
      </c>
      <c r="O104" s="7">
        <v>40</v>
      </c>
      <c r="P104" s="8">
        <v>-7.4983874875909926</v>
      </c>
      <c r="R104" s="6">
        <f t="shared" si="20"/>
        <v>-1.2701628102250007E-2</v>
      </c>
      <c r="S104" s="7">
        <f t="shared" si="20"/>
        <v>5</v>
      </c>
      <c r="T104" s="8">
        <f t="shared" si="20"/>
        <v>-0.93729843594887408</v>
      </c>
    </row>
    <row r="105" spans="1:24" ht="15" thickBot="1" x14ac:dyDescent="0.35">
      <c r="B105" s="2" t="s">
        <v>10</v>
      </c>
      <c r="C105" s="71">
        <f>Z87</f>
        <v>0.77459699999999998</v>
      </c>
      <c r="E105" s="70">
        <f>-(1-C103)*(1-C104)</f>
        <v>-3.1491945124089997</v>
      </c>
      <c r="F105" s="79">
        <f>-(1+C103)*(1-C104)</f>
        <v>-0.39999948759100001</v>
      </c>
      <c r="G105" s="79">
        <f>-(1+C103)*(1+C104)</f>
        <v>-5.0806512409000006E-2</v>
      </c>
      <c r="H105" s="79">
        <f>-(1-C103)*(1+C104)</f>
        <v>-0.39999948759100001</v>
      </c>
      <c r="I105" s="79">
        <f>(1-C103)*(1-C104)</f>
        <v>3.1491945124089997</v>
      </c>
      <c r="J105" s="79">
        <f>(1+C103)*(1-C104)</f>
        <v>0.39999948759100001</v>
      </c>
      <c r="K105" s="79">
        <f>(1+C103)*(1+C104)</f>
        <v>5.0806512409000006E-2</v>
      </c>
      <c r="L105" s="80">
        <f>(1-C103)*(1+C104)</f>
        <v>0.39999948759100001</v>
      </c>
      <c r="N105" s="9">
        <v>-0.79999897518199981</v>
      </c>
      <c r="O105" s="10">
        <v>-4.4408920985006262E-16</v>
      </c>
      <c r="P105" s="11">
        <v>46.145969487590989</v>
      </c>
      <c r="R105" s="9">
        <f t="shared" si="20"/>
        <v>-9.9999871897749976E-2</v>
      </c>
      <c r="S105" s="10">
        <f t="shared" si="20"/>
        <v>-5.5511151231257827E-17</v>
      </c>
      <c r="T105" s="11">
        <f t="shared" si="20"/>
        <v>5.7682461859488736</v>
      </c>
    </row>
    <row r="106" spans="1:24" ht="15" thickBot="1" x14ac:dyDescent="0.35">
      <c r="E106" s="71"/>
      <c r="F106" s="71"/>
      <c r="G106" s="71"/>
      <c r="H106" s="71"/>
      <c r="I106" s="71"/>
      <c r="J106" s="71"/>
      <c r="K106" s="71"/>
      <c r="L106" s="71"/>
    </row>
    <row r="107" spans="1:24" x14ac:dyDescent="0.3">
      <c r="A107">
        <v>14</v>
      </c>
      <c r="B107" s="2" t="s">
        <v>8</v>
      </c>
      <c r="C107" s="71">
        <f>Z88</f>
        <v>-0.77459699999999998</v>
      </c>
      <c r="E107" s="68">
        <f>-(1-C108)*(1-C109)</f>
        <v>-3.1491945124089997</v>
      </c>
      <c r="F107" s="75">
        <f>(1-C108)*(1-C109)</f>
        <v>3.1491945124089997</v>
      </c>
      <c r="G107" s="75">
        <f>(1+C108)*(1-C109)</f>
        <v>0.39999948759100001</v>
      </c>
      <c r="H107" s="75">
        <f>-(1+C108)*(1-C109)</f>
        <v>-0.39999948759100001</v>
      </c>
      <c r="I107" s="75">
        <f>-(1-C108)*(1+C109)</f>
        <v>-0.39999948759100001</v>
      </c>
      <c r="J107" s="75">
        <f>(1-C108)*(1+C109)</f>
        <v>0.39999948759100001</v>
      </c>
      <c r="K107" s="75">
        <f>(1+C108)*(1+C109)</f>
        <v>5.0806512409000006E-2</v>
      </c>
      <c r="L107" s="76">
        <f>-(1+C108)*(1+C109)</f>
        <v>-5.0806512409000006E-2</v>
      </c>
      <c r="N107" s="3">
        <f t="array" ref="N107:P109">MMULT(E107:L109,$B$3:$D$10)</f>
        <v>46.298389024817993</v>
      </c>
      <c r="O107" s="4">
        <v>0</v>
      </c>
      <c r="P107" s="5">
        <v>-0.95241851240900011</v>
      </c>
      <c r="R107" s="3">
        <f t="shared" ref="R107:T109" si="21">$F$3*N107</f>
        <v>5.7872986281022492</v>
      </c>
      <c r="S107" s="4">
        <f t="shared" si="21"/>
        <v>0</v>
      </c>
      <c r="T107" s="5">
        <f t="shared" si="21"/>
        <v>-0.11905231405112501</v>
      </c>
      <c r="V107">
        <f>MDETERM(R107:T109)</f>
        <v>166.85329011171851</v>
      </c>
      <c r="X107">
        <f>V107*AA88*AA88*AA88</f>
        <v>28.609960581570395</v>
      </c>
    </row>
    <row r="108" spans="1:24" x14ac:dyDescent="0.3">
      <c r="B108" s="2" t="s">
        <v>9</v>
      </c>
      <c r="C108" s="71">
        <f>Z88</f>
        <v>-0.77459699999999998</v>
      </c>
      <c r="E108" s="69">
        <f>-(1-C107)*(1-C109)</f>
        <v>-3.1491945124089997</v>
      </c>
      <c r="F108" s="77">
        <f>-(1+C107)*(1-C109)</f>
        <v>-0.39999948759100001</v>
      </c>
      <c r="G108" s="77">
        <f>(1+C107)*(1-C109)</f>
        <v>0.39999948759100001</v>
      </c>
      <c r="H108" s="77">
        <f>(1-C107)*(1-C109)</f>
        <v>3.1491945124089997</v>
      </c>
      <c r="I108" s="77">
        <f>-(1-C107)*(1+C109)</f>
        <v>-0.39999948759100001</v>
      </c>
      <c r="J108" s="77">
        <f>-(1+C107)*(1+C109)</f>
        <v>-5.0806512409000006E-2</v>
      </c>
      <c r="K108" s="77">
        <f>(1+C107)*(1+C109)</f>
        <v>5.0806512409000006E-2</v>
      </c>
      <c r="L108" s="78">
        <f>(1-C107)*(1+C109)</f>
        <v>0.39999948759100001</v>
      </c>
      <c r="N108" s="6">
        <v>-0.79999897518200003</v>
      </c>
      <c r="O108" s="7">
        <v>40</v>
      </c>
      <c r="P108" s="8">
        <v>-0.95241851240899988</v>
      </c>
      <c r="R108" s="6">
        <f t="shared" si="21"/>
        <v>-9.9999871897750003E-2</v>
      </c>
      <c r="S108" s="7">
        <f t="shared" si="21"/>
        <v>5</v>
      </c>
      <c r="T108" s="8">
        <f t="shared" si="21"/>
        <v>-0.11905231405112499</v>
      </c>
    </row>
    <row r="109" spans="1:24" ht="15" thickBot="1" x14ac:dyDescent="0.35">
      <c r="B109" s="2" t="s">
        <v>10</v>
      </c>
      <c r="C109" s="71">
        <f>Z88</f>
        <v>-0.77459699999999998</v>
      </c>
      <c r="E109" s="70">
        <f>-(1-C107)*(1-C108)</f>
        <v>-3.1491945124089997</v>
      </c>
      <c r="F109" s="79">
        <f>-(1+C107)*(1-C108)</f>
        <v>-0.39999948759100001</v>
      </c>
      <c r="G109" s="79">
        <f>-(1+C107)*(1+C108)</f>
        <v>-5.0806512409000006E-2</v>
      </c>
      <c r="H109" s="79">
        <f>-(1-C107)*(1+C108)</f>
        <v>-0.39999948759100001</v>
      </c>
      <c r="I109" s="79">
        <f>(1-C107)*(1-C108)</f>
        <v>3.1491945124089997</v>
      </c>
      <c r="J109" s="79">
        <f>(1+C107)*(1-C108)</f>
        <v>0.39999948759100001</v>
      </c>
      <c r="K109" s="79">
        <f>(1+C107)*(1+C108)</f>
        <v>5.0806512409000006E-2</v>
      </c>
      <c r="L109" s="80">
        <f>(1-C107)*(1+C108)</f>
        <v>0.39999948759100001</v>
      </c>
      <c r="N109" s="9">
        <v>-0.79999897518199981</v>
      </c>
      <c r="O109" s="10">
        <v>-4.4408920985006262E-16</v>
      </c>
      <c r="P109" s="11">
        <v>46.145969487590989</v>
      </c>
      <c r="R109" s="9">
        <f t="shared" si="21"/>
        <v>-9.9999871897749976E-2</v>
      </c>
      <c r="S109" s="10">
        <f t="shared" si="21"/>
        <v>-5.5511151231257827E-17</v>
      </c>
      <c r="T109" s="11">
        <f t="shared" si="21"/>
        <v>5.7682461859488736</v>
      </c>
    </row>
    <row r="110" spans="1:24" ht="15" thickBot="1" x14ac:dyDescent="0.35">
      <c r="E110" s="71"/>
      <c r="F110" s="71"/>
      <c r="G110" s="71"/>
      <c r="H110" s="71"/>
      <c r="I110" s="71"/>
      <c r="J110" s="71"/>
      <c r="K110" s="71"/>
      <c r="L110" s="71"/>
    </row>
    <row r="111" spans="1:24" x14ac:dyDescent="0.3">
      <c r="A111">
        <v>15</v>
      </c>
      <c r="B111" s="2" t="s">
        <v>8</v>
      </c>
      <c r="C111" s="71">
        <f>Z88</f>
        <v>-0.77459699999999998</v>
      </c>
      <c r="E111" s="68">
        <f>-(1-C112)*(1-C113)</f>
        <v>-1.774597</v>
      </c>
      <c r="F111" s="75">
        <f>(1-C112)*(1-C113)</f>
        <v>1.774597</v>
      </c>
      <c r="G111" s="75">
        <f>(1+C112)*(1-C113)</f>
        <v>0.22540300000000002</v>
      </c>
      <c r="H111" s="75">
        <f>-(1+C112)*(1-C113)</f>
        <v>-0.22540300000000002</v>
      </c>
      <c r="I111" s="75">
        <f>-(1-C112)*(1+C113)</f>
        <v>-1.774597</v>
      </c>
      <c r="J111" s="75">
        <f>(1-C112)*(1+C113)</f>
        <v>1.774597</v>
      </c>
      <c r="K111" s="75">
        <f>(1+C112)*(1+C113)</f>
        <v>0.22540300000000002</v>
      </c>
      <c r="L111" s="76">
        <f>-(1+C112)*(1+C113)</f>
        <v>-0.22540300000000002</v>
      </c>
      <c r="N111" s="3">
        <f t="array" ref="N111:P113">MMULT(E111:L113,$B$3:$D$10)</f>
        <v>43.549194</v>
      </c>
      <c r="O111" s="4">
        <v>0</v>
      </c>
      <c r="P111" s="5">
        <v>-4.225403</v>
      </c>
      <c r="R111" s="3">
        <f t="shared" ref="R111:T113" si="22">$F$3*N111</f>
        <v>5.44364925</v>
      </c>
      <c r="S111" s="4">
        <f t="shared" si="22"/>
        <v>0</v>
      </c>
      <c r="T111" s="5">
        <f t="shared" si="22"/>
        <v>-0.528175375</v>
      </c>
      <c r="V111">
        <f>MDETERM(R111:T113)</f>
        <v>156.73745777058201</v>
      </c>
      <c r="X111">
        <f>V111*AA128*AA128*AA129</f>
        <v>43.000674285482042</v>
      </c>
    </row>
    <row r="112" spans="1:24" x14ac:dyDescent="0.3">
      <c r="B112" s="2" t="s">
        <v>9</v>
      </c>
      <c r="C112" s="71">
        <f>Z128</f>
        <v>-0.77459699999999998</v>
      </c>
      <c r="E112" s="69">
        <f>-(1-C111)*(1-C113)</f>
        <v>-1.774597</v>
      </c>
      <c r="F112" s="77">
        <f>-(1+C111)*(1-C113)</f>
        <v>-0.22540300000000002</v>
      </c>
      <c r="G112" s="77">
        <f>(1+C111)*(1-C113)</f>
        <v>0.22540300000000002</v>
      </c>
      <c r="H112" s="77">
        <f>(1-C111)*(1-C113)</f>
        <v>1.774597</v>
      </c>
      <c r="I112" s="77">
        <f>-(1-C111)*(1+C113)</f>
        <v>-1.774597</v>
      </c>
      <c r="J112" s="77">
        <f>-(1+C111)*(1+C113)</f>
        <v>-0.22540300000000002</v>
      </c>
      <c r="K112" s="77">
        <f>(1+C111)*(1+C113)</f>
        <v>0.22540300000000002</v>
      </c>
      <c r="L112" s="78">
        <f>(1-C111)*(1+C113)</f>
        <v>1.774597</v>
      </c>
      <c r="N112" s="6">
        <v>-0.45080600000000004</v>
      </c>
      <c r="O112" s="7">
        <v>40</v>
      </c>
      <c r="P112" s="8">
        <v>-4.225403</v>
      </c>
      <c r="R112" s="6">
        <f t="shared" si="22"/>
        <v>-5.6350750000000005E-2</v>
      </c>
      <c r="S112" s="7">
        <f t="shared" si="22"/>
        <v>5</v>
      </c>
      <c r="T112" s="8">
        <f t="shared" si="22"/>
        <v>-0.528175375</v>
      </c>
    </row>
    <row r="113" spans="1:27" ht="15" thickBot="1" x14ac:dyDescent="0.35">
      <c r="B113" s="2" t="s">
        <v>10</v>
      </c>
      <c r="C113" s="71">
        <f>Z129</f>
        <v>0</v>
      </c>
      <c r="E113" s="70">
        <f>-(1-C111)*(1-C112)</f>
        <v>-3.1491945124089997</v>
      </c>
      <c r="F113" s="79">
        <f>-(1+C111)*(1-C112)</f>
        <v>-0.39999948759100001</v>
      </c>
      <c r="G113" s="79">
        <f>-(1+C111)*(1+C112)</f>
        <v>-5.0806512409000006E-2</v>
      </c>
      <c r="H113" s="79">
        <f>-(1-C111)*(1+C112)</f>
        <v>-0.39999948759100001</v>
      </c>
      <c r="I113" s="79">
        <f>(1-C111)*(1-C112)</f>
        <v>3.1491945124089997</v>
      </c>
      <c r="J113" s="79">
        <f>(1+C111)*(1-C112)</f>
        <v>0.39999948759100001</v>
      </c>
      <c r="K113" s="79">
        <f>(1+C111)*(1+C112)</f>
        <v>5.0806512409000006E-2</v>
      </c>
      <c r="L113" s="80">
        <f>(1-C111)*(1+C112)</f>
        <v>0.39999948759100001</v>
      </c>
      <c r="N113" s="9">
        <v>-0.79999897518199981</v>
      </c>
      <c r="O113" s="10">
        <v>-4.4408920985006262E-16</v>
      </c>
      <c r="P113" s="11">
        <v>46.145969487590989</v>
      </c>
      <c r="R113" s="9">
        <f t="shared" si="22"/>
        <v>-9.9999871897749976E-2</v>
      </c>
      <c r="S113" s="10">
        <f t="shared" si="22"/>
        <v>-5.5511151231257827E-17</v>
      </c>
      <c r="T113" s="11">
        <f t="shared" si="22"/>
        <v>5.7682461859488736</v>
      </c>
    </row>
    <row r="114" spans="1:27" ht="15" thickBot="1" x14ac:dyDescent="0.35">
      <c r="E114" s="71"/>
      <c r="F114" s="71"/>
      <c r="G114" s="71"/>
      <c r="H114" s="71"/>
      <c r="I114" s="71"/>
      <c r="J114" s="71"/>
      <c r="K114" s="71"/>
      <c r="L114" s="71"/>
    </row>
    <row r="115" spans="1:27" x14ac:dyDescent="0.3">
      <c r="A115">
        <v>16</v>
      </c>
      <c r="B115" s="2" t="s">
        <v>8</v>
      </c>
      <c r="C115" s="71">
        <f>Z88</f>
        <v>-0.77459699999999998</v>
      </c>
      <c r="E115" s="68">
        <f>-(1-C116)*(1-C117)</f>
        <v>-0.22540300000000002</v>
      </c>
      <c r="F115" s="75">
        <f>(1-C116)*(1-C117)</f>
        <v>0.22540300000000002</v>
      </c>
      <c r="G115" s="75">
        <f>(1+C116)*(1-C117)</f>
        <v>0.22540300000000002</v>
      </c>
      <c r="H115" s="75">
        <f>-(1+C116)*(1-C117)</f>
        <v>-0.22540300000000002</v>
      </c>
      <c r="I115" s="75">
        <f>-(1-C116)*(1+C117)</f>
        <v>-1.774597</v>
      </c>
      <c r="J115" s="75">
        <f>(1-C116)*(1+C117)</f>
        <v>1.774597</v>
      </c>
      <c r="K115" s="75">
        <f>(1+C116)*(1+C117)</f>
        <v>1.774597</v>
      </c>
      <c r="L115" s="76">
        <f>-(1+C116)*(1+C117)</f>
        <v>-1.774597</v>
      </c>
      <c r="N115" s="3">
        <f t="array" ref="N115:P117">MMULT(E115:L117,$B$3:$D$10)</f>
        <v>40.450806</v>
      </c>
      <c r="O115" s="4">
        <v>0</v>
      </c>
      <c r="P115" s="5">
        <v>-8.8729849999999999</v>
      </c>
      <c r="R115" s="3">
        <f t="shared" ref="R115:T117" si="23">$F$3*N115</f>
        <v>5.05635075</v>
      </c>
      <c r="S115" s="4">
        <f t="shared" si="23"/>
        <v>0</v>
      </c>
      <c r="T115" s="5">
        <f t="shared" si="23"/>
        <v>-1.109123125</v>
      </c>
      <c r="V115">
        <f>MDETERM(R115:T117)</f>
        <v>135.1755315625</v>
      </c>
      <c r="X115">
        <f>V115*AA128*AA129*AA127</f>
        <v>37.085193844307277</v>
      </c>
    </row>
    <row r="116" spans="1:27" x14ac:dyDescent="0.3">
      <c r="B116" s="2" t="s">
        <v>9</v>
      </c>
      <c r="C116" s="71">
        <f>Z129</f>
        <v>0</v>
      </c>
      <c r="E116" s="69">
        <f>-(1-C115)*(1-C117)</f>
        <v>-0.39999948759100001</v>
      </c>
      <c r="F116" s="77">
        <f>-(1+C115)*(1-C117)</f>
        <v>-5.0806512409000006E-2</v>
      </c>
      <c r="G116" s="77">
        <f>(1+C115)*(1-C117)</f>
        <v>5.0806512409000006E-2</v>
      </c>
      <c r="H116" s="77">
        <f>(1-C115)*(1-C117)</f>
        <v>0.39999948759100001</v>
      </c>
      <c r="I116" s="77">
        <f>-(1-C115)*(1+C117)</f>
        <v>-3.1491945124089997</v>
      </c>
      <c r="J116" s="77">
        <f>-(1+C115)*(1+C117)</f>
        <v>-0.39999948759100001</v>
      </c>
      <c r="K116" s="77">
        <f>(1+C115)*(1+C117)</f>
        <v>0.39999948759100001</v>
      </c>
      <c r="L116" s="78">
        <f>(1-C115)*(1+C117)</f>
        <v>3.1491945124089997</v>
      </c>
      <c r="N116" s="6">
        <v>-0.10161302481800005</v>
      </c>
      <c r="O116" s="7">
        <v>40</v>
      </c>
      <c r="P116" s="8">
        <v>-7.4983874875909926</v>
      </c>
      <c r="R116" s="6">
        <f t="shared" si="23"/>
        <v>-1.2701628102250007E-2</v>
      </c>
      <c r="S116" s="7">
        <f t="shared" si="23"/>
        <v>5</v>
      </c>
      <c r="T116" s="8">
        <f t="shared" si="23"/>
        <v>-0.93729843594887408</v>
      </c>
    </row>
    <row r="117" spans="1:27" ht="15" thickBot="1" x14ac:dyDescent="0.35">
      <c r="B117" s="2" t="s">
        <v>10</v>
      </c>
      <c r="C117" s="71">
        <f>Z127</f>
        <v>0.77459699999999998</v>
      </c>
      <c r="E117" s="70">
        <f>-(1-C115)*(1-C116)</f>
        <v>-1.774597</v>
      </c>
      <c r="F117" s="79">
        <f>-(1+C115)*(1-C116)</f>
        <v>-0.22540300000000002</v>
      </c>
      <c r="G117" s="79">
        <f>-(1+C115)*(1+C116)</f>
        <v>-0.22540300000000002</v>
      </c>
      <c r="H117" s="79">
        <f>-(1-C115)*(1+C116)</f>
        <v>-1.774597</v>
      </c>
      <c r="I117" s="79">
        <f>(1-C115)*(1-C116)</f>
        <v>1.774597</v>
      </c>
      <c r="J117" s="79">
        <f>(1+C115)*(1-C116)</f>
        <v>0.22540300000000002</v>
      </c>
      <c r="K117" s="79">
        <f>(1+C115)*(1+C116)</f>
        <v>0.22540300000000002</v>
      </c>
      <c r="L117" s="80">
        <f>(1-C115)*(1+C116)</f>
        <v>1.774597</v>
      </c>
      <c r="N117" s="9">
        <v>-0.45080600000000004</v>
      </c>
      <c r="O117" s="10">
        <v>0</v>
      </c>
      <c r="P117" s="11">
        <v>42.872985</v>
      </c>
      <c r="R117" s="9">
        <f t="shared" si="23"/>
        <v>-5.6350750000000005E-2</v>
      </c>
      <c r="S117" s="10">
        <f t="shared" si="23"/>
        <v>0</v>
      </c>
      <c r="T117" s="11">
        <f t="shared" si="23"/>
        <v>5.359123125</v>
      </c>
    </row>
    <row r="118" spans="1:27" ht="15" thickBot="1" x14ac:dyDescent="0.35">
      <c r="E118" s="71"/>
      <c r="F118" s="71"/>
      <c r="G118" s="71"/>
      <c r="H118" s="71"/>
      <c r="I118" s="71"/>
      <c r="J118" s="71"/>
      <c r="K118" s="71"/>
      <c r="L118" s="71"/>
    </row>
    <row r="119" spans="1:27" x14ac:dyDescent="0.3">
      <c r="A119">
        <v>17</v>
      </c>
      <c r="B119" s="2" t="s">
        <v>8</v>
      </c>
      <c r="C119" s="71">
        <f>Z88</f>
        <v>-0.77459699999999998</v>
      </c>
      <c r="E119" s="68">
        <f>-(1-C120)*(1-C121)</f>
        <v>-1.774597</v>
      </c>
      <c r="F119" s="75">
        <f>(1-C120)*(1-C121)</f>
        <v>1.774597</v>
      </c>
      <c r="G119" s="75">
        <f>(1+C120)*(1-C121)</f>
        <v>1.774597</v>
      </c>
      <c r="H119" s="75">
        <f>-(1+C120)*(1-C121)</f>
        <v>-1.774597</v>
      </c>
      <c r="I119" s="75">
        <f>-(1-C120)*(1+C121)</f>
        <v>-0.22540300000000002</v>
      </c>
      <c r="J119" s="75">
        <f>(1-C120)*(1+C121)</f>
        <v>0.22540300000000002</v>
      </c>
      <c r="K119" s="75">
        <f>(1+C120)*(1+C121)</f>
        <v>0.22540300000000002</v>
      </c>
      <c r="L119" s="76">
        <f>-(1+C120)*(1+C121)</f>
        <v>-0.22540300000000002</v>
      </c>
      <c r="N119" s="3">
        <f t="array" ref="N119:P121">MMULT(E119:L121,$B$3:$D$10)</f>
        <v>43.549194</v>
      </c>
      <c r="O119" s="4">
        <v>0</v>
      </c>
      <c r="P119" s="5">
        <v>-1.1270150000000001</v>
      </c>
      <c r="R119" s="3">
        <f t="shared" ref="R119:T121" si="24">$F$3*N119</f>
        <v>5.44364925</v>
      </c>
      <c r="S119" s="4">
        <f t="shared" si="24"/>
        <v>0</v>
      </c>
      <c r="T119" s="5">
        <f t="shared" si="24"/>
        <v>-0.14087687500000001</v>
      </c>
      <c r="V119">
        <f>MDETERM(R119:T121)</f>
        <v>145.82624031249998</v>
      </c>
      <c r="X119">
        <f>V119*AA128*AA129*AA128</f>
        <v>40.007198988340186</v>
      </c>
    </row>
    <row r="120" spans="1:27" x14ac:dyDescent="0.3">
      <c r="B120" s="2" t="s">
        <v>9</v>
      </c>
      <c r="C120" s="71">
        <f>Z129</f>
        <v>0</v>
      </c>
      <c r="E120" s="69">
        <f>-(1-C119)*(1-C121)</f>
        <v>-3.1491945124089997</v>
      </c>
      <c r="F120" s="77">
        <f>-(1+C119)*(1-C121)</f>
        <v>-0.39999948759100001</v>
      </c>
      <c r="G120" s="77">
        <f>(1+C119)*(1-C121)</f>
        <v>0.39999948759100001</v>
      </c>
      <c r="H120" s="77">
        <f>(1-C119)*(1-C121)</f>
        <v>3.1491945124089997</v>
      </c>
      <c r="I120" s="77">
        <f>-(1-C119)*(1+C121)</f>
        <v>-0.39999948759100001</v>
      </c>
      <c r="J120" s="77">
        <f>-(1+C119)*(1+C121)</f>
        <v>-5.0806512409000006E-2</v>
      </c>
      <c r="K120" s="77">
        <f>(1+C119)*(1+C121)</f>
        <v>5.0806512409000006E-2</v>
      </c>
      <c r="L120" s="78">
        <f>(1-C119)*(1+C121)</f>
        <v>0.39999948759100001</v>
      </c>
      <c r="N120" s="6">
        <v>-0.79999897518200003</v>
      </c>
      <c r="O120" s="7">
        <v>40</v>
      </c>
      <c r="P120" s="8">
        <v>-0.95241851240899988</v>
      </c>
      <c r="R120" s="6">
        <f t="shared" si="24"/>
        <v>-9.9999871897750003E-2</v>
      </c>
      <c r="S120" s="7">
        <f t="shared" si="24"/>
        <v>5</v>
      </c>
      <c r="T120" s="8">
        <f t="shared" si="24"/>
        <v>-0.11905231405112499</v>
      </c>
    </row>
    <row r="121" spans="1:27" ht="15" thickBot="1" x14ac:dyDescent="0.35">
      <c r="B121" s="2" t="s">
        <v>10</v>
      </c>
      <c r="C121" s="71">
        <f>Z128</f>
        <v>-0.77459699999999998</v>
      </c>
      <c r="E121" s="70">
        <f>-(1-C119)*(1-C120)</f>
        <v>-1.774597</v>
      </c>
      <c r="F121" s="79">
        <f>-(1+C119)*(1-C120)</f>
        <v>-0.22540300000000002</v>
      </c>
      <c r="G121" s="79">
        <f>-(1+C119)*(1+C120)</f>
        <v>-0.22540300000000002</v>
      </c>
      <c r="H121" s="79">
        <f>-(1-C119)*(1+C120)</f>
        <v>-1.774597</v>
      </c>
      <c r="I121" s="79">
        <f>(1-C119)*(1-C120)</f>
        <v>1.774597</v>
      </c>
      <c r="J121" s="79">
        <f>(1+C119)*(1-C120)</f>
        <v>0.22540300000000002</v>
      </c>
      <c r="K121" s="79">
        <f>(1+C119)*(1+C120)</f>
        <v>0.22540300000000002</v>
      </c>
      <c r="L121" s="80">
        <f>(1-C119)*(1+C120)</f>
        <v>1.774597</v>
      </c>
      <c r="N121" s="9">
        <v>-0.45080600000000004</v>
      </c>
      <c r="O121" s="10">
        <v>0</v>
      </c>
      <c r="P121" s="11">
        <v>42.872985</v>
      </c>
      <c r="R121" s="9">
        <f t="shared" si="24"/>
        <v>-5.6350750000000005E-2</v>
      </c>
      <c r="S121" s="10">
        <f t="shared" si="24"/>
        <v>0</v>
      </c>
      <c r="T121" s="11">
        <f t="shared" si="24"/>
        <v>5.359123125</v>
      </c>
    </row>
    <row r="122" spans="1:27" ht="15" thickBot="1" x14ac:dyDescent="0.35">
      <c r="E122" s="71"/>
      <c r="F122" s="71"/>
      <c r="G122" s="71"/>
      <c r="H122" s="71"/>
      <c r="I122" s="71"/>
      <c r="J122" s="71"/>
      <c r="K122" s="71"/>
      <c r="L122" s="71"/>
    </row>
    <row r="123" spans="1:27" x14ac:dyDescent="0.3">
      <c r="A123">
        <v>18</v>
      </c>
      <c r="B123" s="2" t="s">
        <v>8</v>
      </c>
      <c r="C123" s="71">
        <f>Z88</f>
        <v>-0.77459699999999998</v>
      </c>
      <c r="E123" s="68">
        <f>-(1-C124)*(1-C125)</f>
        <v>-1</v>
      </c>
      <c r="F123" s="75">
        <f>(1-C124)*(1-C125)</f>
        <v>1</v>
      </c>
      <c r="G123" s="75">
        <f>(1+C124)*(1-C125)</f>
        <v>1</v>
      </c>
      <c r="H123" s="75">
        <f>-(1+C124)*(1-C125)</f>
        <v>-1</v>
      </c>
      <c r="I123" s="75">
        <f>-(1-C124)*(1+C125)</f>
        <v>-1</v>
      </c>
      <c r="J123" s="75">
        <f>(1-C124)*(1+C125)</f>
        <v>1</v>
      </c>
      <c r="K123" s="75">
        <f>(1+C124)*(1+C125)</f>
        <v>1</v>
      </c>
      <c r="L123" s="76">
        <f>-(1+C124)*(1+C125)</f>
        <v>-1</v>
      </c>
      <c r="N123" s="3">
        <f t="array" ref="N123:P125">MMULT(E123:L125,$B$3:$D$10)</f>
        <v>42</v>
      </c>
      <c r="O123" s="4">
        <v>0</v>
      </c>
      <c r="P123" s="5">
        <v>-5</v>
      </c>
      <c r="R123" s="3">
        <f t="shared" ref="R123:T125" si="25">$F$3*N123</f>
        <v>5.25</v>
      </c>
      <c r="S123" s="4">
        <f t="shared" si="25"/>
        <v>0</v>
      </c>
      <c r="T123" s="5">
        <f t="shared" si="25"/>
        <v>-0.625</v>
      </c>
      <c r="V123">
        <f>MDETERM(R123:T125)</f>
        <v>140.50088593749999</v>
      </c>
      <c r="X123">
        <f>V123*AA128*AA129*AA129</f>
        <v>61.673914266117961</v>
      </c>
    </row>
    <row r="124" spans="1:27" x14ac:dyDescent="0.3">
      <c r="B124" s="2" t="s">
        <v>9</v>
      </c>
      <c r="C124" s="71">
        <f>Z129</f>
        <v>0</v>
      </c>
      <c r="E124" s="69">
        <f>-(1-C123)*(1-C125)</f>
        <v>-1.774597</v>
      </c>
      <c r="F124" s="77">
        <f>-(1+C123)*(1-C125)</f>
        <v>-0.22540300000000002</v>
      </c>
      <c r="G124" s="77">
        <f>(1+C123)*(1-C125)</f>
        <v>0.22540300000000002</v>
      </c>
      <c r="H124" s="77">
        <f>(1-C123)*(1-C125)</f>
        <v>1.774597</v>
      </c>
      <c r="I124" s="77">
        <f>-(1-C123)*(1+C125)</f>
        <v>-1.774597</v>
      </c>
      <c r="J124" s="77">
        <f>-(1+C123)*(1+C125)</f>
        <v>-0.22540300000000002</v>
      </c>
      <c r="K124" s="77">
        <f>(1+C123)*(1+C125)</f>
        <v>0.22540300000000002</v>
      </c>
      <c r="L124" s="78">
        <f>(1-C123)*(1+C125)</f>
        <v>1.774597</v>
      </c>
      <c r="N124" s="6">
        <v>-0.45080600000000004</v>
      </c>
      <c r="O124" s="7">
        <v>40</v>
      </c>
      <c r="P124" s="8">
        <v>-4.225403</v>
      </c>
      <c r="R124" s="6">
        <f t="shared" si="25"/>
        <v>-5.6350750000000005E-2</v>
      </c>
      <c r="S124" s="7">
        <f t="shared" si="25"/>
        <v>5</v>
      </c>
      <c r="T124" s="8">
        <f t="shared" si="25"/>
        <v>-0.528175375</v>
      </c>
    </row>
    <row r="125" spans="1:27" ht="15" thickBot="1" x14ac:dyDescent="0.35">
      <c r="B125" s="2" t="s">
        <v>10</v>
      </c>
      <c r="C125" s="71">
        <f>Z129</f>
        <v>0</v>
      </c>
      <c r="E125" s="70">
        <f>-(1-C123)*(1-C124)</f>
        <v>-1.774597</v>
      </c>
      <c r="F125" s="79">
        <f>-(1+C123)*(1-C124)</f>
        <v>-0.22540300000000002</v>
      </c>
      <c r="G125" s="79">
        <f>-(1+C123)*(1+C124)</f>
        <v>-0.22540300000000002</v>
      </c>
      <c r="H125" s="79">
        <f>-(1-C123)*(1+C124)</f>
        <v>-1.774597</v>
      </c>
      <c r="I125" s="79">
        <f>(1-C123)*(1-C124)</f>
        <v>1.774597</v>
      </c>
      <c r="J125" s="79">
        <f>(1+C123)*(1-C124)</f>
        <v>0.22540300000000002</v>
      </c>
      <c r="K125" s="79">
        <f>(1+C123)*(1+C124)</f>
        <v>0.22540300000000002</v>
      </c>
      <c r="L125" s="80">
        <f>(1-C123)*(1+C124)</f>
        <v>1.774597</v>
      </c>
      <c r="N125" s="9">
        <v>-0.45080600000000004</v>
      </c>
      <c r="O125" s="10">
        <v>0</v>
      </c>
      <c r="P125" s="11">
        <v>42.872985</v>
      </c>
      <c r="R125" s="9">
        <f t="shared" si="25"/>
        <v>-5.6350750000000005E-2</v>
      </c>
      <c r="S125" s="10">
        <f t="shared" si="25"/>
        <v>0</v>
      </c>
      <c r="T125" s="11">
        <f t="shared" si="25"/>
        <v>5.359123125</v>
      </c>
    </row>
    <row r="126" spans="1:27" ht="15" thickBot="1" x14ac:dyDescent="0.35">
      <c r="E126" s="71"/>
      <c r="F126" s="71"/>
      <c r="G126" s="71"/>
      <c r="H126" s="71"/>
      <c r="I126" s="71"/>
      <c r="J126" s="71"/>
      <c r="K126" s="71"/>
      <c r="L126" s="71"/>
    </row>
    <row r="127" spans="1:27" x14ac:dyDescent="0.3">
      <c r="A127">
        <v>19</v>
      </c>
      <c r="B127" s="2" t="s">
        <v>8</v>
      </c>
      <c r="C127" s="71">
        <f>Z129</f>
        <v>0</v>
      </c>
      <c r="E127" s="68">
        <f>-(1-C128)*(1-C129)</f>
        <v>-5.0806512409000006E-2</v>
      </c>
      <c r="F127" s="75">
        <f>(1-C128)*(1-C129)</f>
        <v>5.0806512409000006E-2</v>
      </c>
      <c r="G127" s="75">
        <f>(1+C128)*(1-C129)</f>
        <v>0.39999948759100001</v>
      </c>
      <c r="H127" s="75">
        <f>-(1+C128)*(1-C129)</f>
        <v>-0.39999948759100001</v>
      </c>
      <c r="I127" s="75">
        <f>-(1-C128)*(1+C129)</f>
        <v>-0.39999948759100001</v>
      </c>
      <c r="J127" s="75">
        <f>(1-C128)*(1+C129)</f>
        <v>0.39999948759100001</v>
      </c>
      <c r="K127" s="75">
        <f>(1+C128)*(1+C129)</f>
        <v>3.1491945124089997</v>
      </c>
      <c r="L127" s="76">
        <f>-(1+C128)*(1+C129)</f>
        <v>-3.1491945124089997</v>
      </c>
      <c r="N127" s="3">
        <f t="array" ref="N127:P129">MMULT(E127:L129,$B$3:$D$10)</f>
        <v>40.101613024818</v>
      </c>
      <c r="O127" s="4">
        <v>0</v>
      </c>
      <c r="P127" s="5">
        <v>-10.247582512409</v>
      </c>
      <c r="R127" s="3">
        <f t="shared" ref="R127:T129" si="26">$F$3*N127</f>
        <v>5.0127016281022501</v>
      </c>
      <c r="S127" s="4">
        <f t="shared" si="26"/>
        <v>0</v>
      </c>
      <c r="T127" s="5">
        <f t="shared" si="26"/>
        <v>-1.280947814051125</v>
      </c>
      <c r="V127">
        <f>MDETERM(R127:T129)</f>
        <v>109.6898664503819</v>
      </c>
      <c r="X127">
        <f>V127*AA129*AA127*AA127</f>
        <v>30.093241824521783</v>
      </c>
      <c r="Z127" s="68">
        <v>0.77459699999999998</v>
      </c>
      <c r="AA127" s="5">
        <f>5/9</f>
        <v>0.55555555555555558</v>
      </c>
    </row>
    <row r="128" spans="1:27" x14ac:dyDescent="0.3">
      <c r="B128" s="2" t="s">
        <v>9</v>
      </c>
      <c r="C128" s="71">
        <f>Z127</f>
        <v>0.77459699999999998</v>
      </c>
      <c r="E128" s="69">
        <f>-(1-C127)*(1-C129)</f>
        <v>-0.22540300000000002</v>
      </c>
      <c r="F128" s="77">
        <f>-(1+C127)*(1-C129)</f>
        <v>-0.22540300000000002</v>
      </c>
      <c r="G128" s="77">
        <f>(1+C127)*(1-C129)</f>
        <v>0.22540300000000002</v>
      </c>
      <c r="H128" s="77">
        <f>(1-C127)*(1-C129)</f>
        <v>0.22540300000000002</v>
      </c>
      <c r="I128" s="77">
        <f>-(1-C127)*(1+C129)</f>
        <v>-1.774597</v>
      </c>
      <c r="J128" s="77">
        <f>-(1+C127)*(1+C129)</f>
        <v>-1.774597</v>
      </c>
      <c r="K128" s="77">
        <f>(1+C127)*(1+C129)</f>
        <v>1.774597</v>
      </c>
      <c r="L128" s="78">
        <f>(1-C127)*(1+C129)</f>
        <v>1.774597</v>
      </c>
      <c r="N128" s="6">
        <v>-0.45080600000000004</v>
      </c>
      <c r="O128" s="7">
        <v>40</v>
      </c>
      <c r="P128" s="8">
        <v>-8.8729849999999999</v>
      </c>
      <c r="R128" s="6">
        <f t="shared" si="26"/>
        <v>-5.6350750000000005E-2</v>
      </c>
      <c r="S128" s="7">
        <f t="shared" si="26"/>
        <v>5</v>
      </c>
      <c r="T128" s="8">
        <f t="shared" si="26"/>
        <v>-1.109123125</v>
      </c>
      <c r="Z128" s="69">
        <v>-0.77459699999999998</v>
      </c>
      <c r="AA128" s="8">
        <f>5/9</f>
        <v>0.55555555555555558</v>
      </c>
    </row>
    <row r="129" spans="1:27" ht="15" thickBot="1" x14ac:dyDescent="0.35">
      <c r="B129" s="2" t="s">
        <v>10</v>
      </c>
      <c r="C129" s="71">
        <f>Z127</f>
        <v>0.77459699999999998</v>
      </c>
      <c r="E129" s="70">
        <f>-(1-C127)*(1-C128)</f>
        <v>-0.22540300000000002</v>
      </c>
      <c r="F129" s="79">
        <f>-(1+C127)*(1-C128)</f>
        <v>-0.22540300000000002</v>
      </c>
      <c r="G129" s="79">
        <f>-(1+C127)*(1+C128)</f>
        <v>-1.774597</v>
      </c>
      <c r="H129" s="79">
        <f>-(1-C127)*(1+C128)</f>
        <v>-1.774597</v>
      </c>
      <c r="I129" s="79">
        <f>(1-C127)*(1-C128)</f>
        <v>0.22540300000000002</v>
      </c>
      <c r="J129" s="79">
        <f>(1+C127)*(1-C128)</f>
        <v>0.22540300000000002</v>
      </c>
      <c r="K129" s="79">
        <f>(1+C127)*(1+C128)</f>
        <v>1.774597</v>
      </c>
      <c r="L129" s="80">
        <f>(1-C127)*(1+C128)</f>
        <v>1.774597</v>
      </c>
      <c r="N129" s="9">
        <v>-0.45080600000000004</v>
      </c>
      <c r="O129" s="10">
        <v>0</v>
      </c>
      <c r="P129" s="11">
        <v>35.127015</v>
      </c>
      <c r="R129" s="9">
        <f t="shared" si="26"/>
        <v>-5.6350750000000005E-2</v>
      </c>
      <c r="S129" s="10">
        <f t="shared" si="26"/>
        <v>0</v>
      </c>
      <c r="T129" s="11">
        <f t="shared" si="26"/>
        <v>4.390876875</v>
      </c>
      <c r="Z129" s="70">
        <v>0</v>
      </c>
      <c r="AA129" s="11">
        <f>8/9</f>
        <v>0.88888888888888884</v>
      </c>
    </row>
    <row r="130" spans="1:27" ht="15" thickBot="1" x14ac:dyDescent="0.35">
      <c r="E130" s="71"/>
      <c r="F130" s="71"/>
      <c r="G130" s="71"/>
      <c r="H130" s="71"/>
      <c r="I130" s="71"/>
      <c r="J130" s="71"/>
      <c r="K130" s="71"/>
      <c r="L130" s="71"/>
    </row>
    <row r="131" spans="1:27" x14ac:dyDescent="0.3">
      <c r="A131">
        <v>20</v>
      </c>
      <c r="B131" s="2" t="s">
        <v>8</v>
      </c>
      <c r="C131" s="71">
        <f>Z129</f>
        <v>0</v>
      </c>
      <c r="E131" s="68">
        <f>-(1-C132)*(1-C133)</f>
        <v>-0.39999948759100001</v>
      </c>
      <c r="F131" s="75">
        <f>(1-C132)*(1-C133)</f>
        <v>0.39999948759100001</v>
      </c>
      <c r="G131" s="75">
        <f>(1+C132)*(1-C133)</f>
        <v>3.1491945124089997</v>
      </c>
      <c r="H131" s="75">
        <f>-(1+C132)*(1-C133)</f>
        <v>-3.1491945124089997</v>
      </c>
      <c r="I131" s="75">
        <f>-(1-C132)*(1+C133)</f>
        <v>-5.0806512409000006E-2</v>
      </c>
      <c r="J131" s="75">
        <f>(1-C132)*(1+C133)</f>
        <v>5.0806512409000006E-2</v>
      </c>
      <c r="K131" s="75">
        <f>(1+C132)*(1+C133)</f>
        <v>0.39999948759100001</v>
      </c>
      <c r="L131" s="76">
        <f>-(1+C132)*(1+C133)</f>
        <v>-0.39999948759100001</v>
      </c>
      <c r="N131" s="3">
        <f t="array" ref="N131:P133">MMULT(E131:L133,$B$3:$D$10)</f>
        <v>40.799998975182</v>
      </c>
      <c r="O131" s="4">
        <v>0</v>
      </c>
      <c r="P131" s="5">
        <v>-1.3016114875909999</v>
      </c>
      <c r="R131" s="3">
        <f t="shared" ref="R131:T133" si="27">$F$3*N131</f>
        <v>5.0999998718977499</v>
      </c>
      <c r="S131" s="4">
        <f t="shared" si="27"/>
        <v>0</v>
      </c>
      <c r="T131" s="5">
        <f t="shared" si="27"/>
        <v>-0.16270143594887498</v>
      </c>
      <c r="V131">
        <f>MDETERM(R131:T133)</f>
        <v>111.92151576038499</v>
      </c>
      <c r="X131">
        <f>AA129*AA127*AA128*V131</f>
        <v>30.705491292286691</v>
      </c>
    </row>
    <row r="132" spans="1:27" x14ac:dyDescent="0.3">
      <c r="B132" s="2" t="s">
        <v>9</v>
      </c>
      <c r="C132" s="71">
        <f>Z127</f>
        <v>0.77459699999999998</v>
      </c>
      <c r="E132" s="69">
        <f>-(1-C131)*(1-C133)</f>
        <v>-1.774597</v>
      </c>
      <c r="F132" s="77">
        <f>-(1+C131)*(1-C133)</f>
        <v>-1.774597</v>
      </c>
      <c r="G132" s="77">
        <f>(1+C131)*(1-C133)</f>
        <v>1.774597</v>
      </c>
      <c r="H132" s="77">
        <f>(1-C131)*(1-C133)</f>
        <v>1.774597</v>
      </c>
      <c r="I132" s="77">
        <f>-(1-C131)*(1+C133)</f>
        <v>-0.22540300000000002</v>
      </c>
      <c r="J132" s="77">
        <f>-(1+C131)*(1+C133)</f>
        <v>-0.22540300000000002</v>
      </c>
      <c r="K132" s="77">
        <f>(1+C131)*(1+C133)</f>
        <v>0.22540300000000002</v>
      </c>
      <c r="L132" s="78">
        <f>(1-C131)*(1+C133)</f>
        <v>0.22540300000000002</v>
      </c>
      <c r="N132" s="6">
        <v>-3.549194</v>
      </c>
      <c r="O132" s="7">
        <v>40</v>
      </c>
      <c r="P132" s="8">
        <v>-1.1270150000000001</v>
      </c>
      <c r="R132" s="6">
        <f t="shared" si="27"/>
        <v>-0.44364924999999999</v>
      </c>
      <c r="S132" s="7">
        <f t="shared" si="27"/>
        <v>5</v>
      </c>
      <c r="T132" s="8">
        <f t="shared" si="27"/>
        <v>-0.14087687500000001</v>
      </c>
    </row>
    <row r="133" spans="1:27" ht="15" thickBot="1" x14ac:dyDescent="0.35">
      <c r="B133" s="2" t="s">
        <v>10</v>
      </c>
      <c r="C133" s="71">
        <f>Z128</f>
        <v>-0.77459699999999998</v>
      </c>
      <c r="E133" s="70">
        <f>-(1-C131)*(1-C132)</f>
        <v>-0.22540300000000002</v>
      </c>
      <c r="F133" s="79">
        <f>-(1+C131)*(1-C132)</f>
        <v>-0.22540300000000002</v>
      </c>
      <c r="G133" s="79">
        <f>-(1+C131)*(1+C132)</f>
        <v>-1.774597</v>
      </c>
      <c r="H133" s="79">
        <f>-(1-C131)*(1+C132)</f>
        <v>-1.774597</v>
      </c>
      <c r="I133" s="79">
        <f>(1-C131)*(1-C132)</f>
        <v>0.22540300000000002</v>
      </c>
      <c r="J133" s="79">
        <f>(1+C131)*(1-C132)</f>
        <v>0.22540300000000002</v>
      </c>
      <c r="K133" s="79">
        <f>(1+C131)*(1+C132)</f>
        <v>1.774597</v>
      </c>
      <c r="L133" s="80">
        <f>(1-C131)*(1+C132)</f>
        <v>1.774597</v>
      </c>
      <c r="N133" s="9">
        <v>-0.45080600000000004</v>
      </c>
      <c r="O133" s="10">
        <v>0</v>
      </c>
      <c r="P133" s="11">
        <v>35.127015</v>
      </c>
      <c r="R133" s="9">
        <f t="shared" si="27"/>
        <v>-5.6350750000000005E-2</v>
      </c>
      <c r="S133" s="10">
        <f t="shared" si="27"/>
        <v>0</v>
      </c>
      <c r="T133" s="11">
        <f t="shared" si="27"/>
        <v>4.390876875</v>
      </c>
    </row>
    <row r="134" spans="1:27" ht="15" thickBot="1" x14ac:dyDescent="0.35">
      <c r="E134" s="71"/>
      <c r="F134" s="71"/>
      <c r="G134" s="71"/>
      <c r="H134" s="71"/>
      <c r="I134" s="71"/>
      <c r="J134" s="71"/>
      <c r="K134" s="71"/>
      <c r="L134" s="71"/>
    </row>
    <row r="135" spans="1:27" x14ac:dyDescent="0.3">
      <c r="A135">
        <v>21</v>
      </c>
      <c r="B135" s="2" t="s">
        <v>8</v>
      </c>
      <c r="C135" s="71">
        <f>Z129</f>
        <v>0</v>
      </c>
      <c r="E135" s="68">
        <f>-(1-C136)*(1-C137)</f>
        <v>-0.22540300000000002</v>
      </c>
      <c r="F135" s="75">
        <f>(1-C136)*(1-C137)</f>
        <v>0.22540300000000002</v>
      </c>
      <c r="G135" s="75">
        <f>(1+C136)*(1-C137)</f>
        <v>1.774597</v>
      </c>
      <c r="H135" s="75">
        <f>-(1+C136)*(1-C137)</f>
        <v>-1.774597</v>
      </c>
      <c r="I135" s="75">
        <f>-(1-C136)*(1+C137)</f>
        <v>-0.22540300000000002</v>
      </c>
      <c r="J135" s="75">
        <f>(1-C136)*(1+C137)</f>
        <v>0.22540300000000002</v>
      </c>
      <c r="K135" s="75">
        <f>(1+C136)*(1+C137)</f>
        <v>1.774597</v>
      </c>
      <c r="L135" s="76">
        <f>-(1+C136)*(1+C137)</f>
        <v>-1.774597</v>
      </c>
      <c r="N135" s="3">
        <f t="array" ref="N135:P137">MMULT(E135:L137,$B$3:$D$10)</f>
        <v>40.450806</v>
      </c>
      <c r="O135" s="4">
        <v>0</v>
      </c>
      <c r="P135" s="5">
        <v>-5.774597</v>
      </c>
      <c r="R135" s="3">
        <f t="shared" ref="R135:T137" si="28">$F$3*N135</f>
        <v>5.05635075</v>
      </c>
      <c r="S135" s="4">
        <f t="shared" si="28"/>
        <v>0</v>
      </c>
      <c r="T135" s="5">
        <f t="shared" si="28"/>
        <v>-0.721824625</v>
      </c>
      <c r="V135">
        <f>MDETERM(R135:T137)</f>
        <v>110.80569110538345</v>
      </c>
      <c r="X135">
        <f>V135*AA129*AA127*AA129</f>
        <v>48.638986493446779</v>
      </c>
    </row>
    <row r="136" spans="1:27" x14ac:dyDescent="0.3">
      <c r="B136" s="2" t="s">
        <v>9</v>
      </c>
      <c r="C136" s="71">
        <f>Z127</f>
        <v>0.77459699999999998</v>
      </c>
      <c r="E136" s="69">
        <f>-(1-C135)*(1-C137)</f>
        <v>-1</v>
      </c>
      <c r="F136" s="77">
        <f>-(1+C135)*(1-C137)</f>
        <v>-1</v>
      </c>
      <c r="G136" s="77">
        <f>(1+C135)*(1-C137)</f>
        <v>1</v>
      </c>
      <c r="H136" s="77">
        <f>(1-C135)*(1-C137)</f>
        <v>1</v>
      </c>
      <c r="I136" s="77">
        <f>-(1-C135)*(1+C137)</f>
        <v>-1</v>
      </c>
      <c r="J136" s="77">
        <f>-(1+C135)*(1+C137)</f>
        <v>-1</v>
      </c>
      <c r="K136" s="77">
        <f>(1+C135)*(1+C137)</f>
        <v>1</v>
      </c>
      <c r="L136" s="78">
        <f>(1-C135)*(1+C137)</f>
        <v>1</v>
      </c>
      <c r="N136" s="6">
        <v>-2</v>
      </c>
      <c r="O136" s="7">
        <v>40</v>
      </c>
      <c r="P136" s="8">
        <v>-5</v>
      </c>
      <c r="R136" s="6">
        <f t="shared" si="28"/>
        <v>-0.25</v>
      </c>
      <c r="S136" s="7">
        <f t="shared" si="28"/>
        <v>5</v>
      </c>
      <c r="T136" s="8">
        <f t="shared" si="28"/>
        <v>-0.625</v>
      </c>
    </row>
    <row r="137" spans="1:27" ht="15" thickBot="1" x14ac:dyDescent="0.35">
      <c r="B137" s="2" t="s">
        <v>10</v>
      </c>
      <c r="C137" s="71">
        <f>Z129</f>
        <v>0</v>
      </c>
      <c r="E137" s="70">
        <f>-(1-C135)*(1-C136)</f>
        <v>-0.22540300000000002</v>
      </c>
      <c r="F137" s="79">
        <f>-(1+C135)*(1-C136)</f>
        <v>-0.22540300000000002</v>
      </c>
      <c r="G137" s="79">
        <f>-(1+C135)*(1+C136)</f>
        <v>-1.774597</v>
      </c>
      <c r="H137" s="79">
        <f>-(1-C135)*(1+C136)</f>
        <v>-1.774597</v>
      </c>
      <c r="I137" s="79">
        <f>(1-C135)*(1-C136)</f>
        <v>0.22540300000000002</v>
      </c>
      <c r="J137" s="79">
        <f>(1+C135)*(1-C136)</f>
        <v>0.22540300000000002</v>
      </c>
      <c r="K137" s="79">
        <f>(1+C135)*(1+C136)</f>
        <v>1.774597</v>
      </c>
      <c r="L137" s="80">
        <f>(1-C135)*(1+C136)</f>
        <v>1.774597</v>
      </c>
      <c r="N137" s="9">
        <v>-0.45080600000000004</v>
      </c>
      <c r="O137" s="10">
        <v>0</v>
      </c>
      <c r="P137" s="11">
        <v>35.127015</v>
      </c>
      <c r="R137" s="9">
        <f t="shared" si="28"/>
        <v>-5.6350750000000005E-2</v>
      </c>
      <c r="S137" s="10">
        <f t="shared" si="28"/>
        <v>0</v>
      </c>
      <c r="T137" s="11">
        <f t="shared" si="28"/>
        <v>4.390876875</v>
      </c>
    </row>
    <row r="138" spans="1:27" ht="15" thickBot="1" x14ac:dyDescent="0.35">
      <c r="E138" s="71"/>
      <c r="F138" s="71"/>
      <c r="G138" s="71"/>
      <c r="H138" s="71"/>
      <c r="I138" s="71"/>
      <c r="J138" s="71"/>
      <c r="K138" s="71"/>
      <c r="L138" s="71"/>
    </row>
    <row r="139" spans="1:27" x14ac:dyDescent="0.3">
      <c r="A139">
        <v>22</v>
      </c>
      <c r="B139" s="2" t="s">
        <v>8</v>
      </c>
      <c r="C139" s="71">
        <f>Z129</f>
        <v>0</v>
      </c>
      <c r="E139" s="68">
        <f>-(1-C140)*(1-C141)</f>
        <v>-0.39999948759100001</v>
      </c>
      <c r="F139" s="75">
        <f>(1-C140)*(1-C141)</f>
        <v>0.39999948759100001</v>
      </c>
      <c r="G139" s="75">
        <f>(1+C140)*(1-C141)</f>
        <v>5.0806512409000006E-2</v>
      </c>
      <c r="H139" s="75">
        <f>-(1+C140)*(1-C141)</f>
        <v>-5.0806512409000006E-2</v>
      </c>
      <c r="I139" s="75">
        <f>-(1-C140)*(1+C141)</f>
        <v>-3.1491945124089997</v>
      </c>
      <c r="J139" s="75">
        <f>(1-C140)*(1+C141)</f>
        <v>3.1491945124089997</v>
      </c>
      <c r="K139" s="75">
        <f>(1+C140)*(1+C141)</f>
        <v>0.39999948759100001</v>
      </c>
      <c r="L139" s="76">
        <f>-(1+C140)*(1+C141)</f>
        <v>-0.39999948759100001</v>
      </c>
      <c r="N139" s="3">
        <f t="array" ref="N139:P141">MMULT(E139:L141,$B$3:$D$10)</f>
        <v>40.799998975182</v>
      </c>
      <c r="O139" s="4">
        <v>0</v>
      </c>
      <c r="P139" s="5">
        <v>-7.4983874875909962</v>
      </c>
      <c r="R139" s="3">
        <f t="shared" ref="R139:T141" si="29">$F$3*N139</f>
        <v>5.0999998718977499</v>
      </c>
      <c r="S139" s="4">
        <f t="shared" si="29"/>
        <v>0</v>
      </c>
      <c r="T139" s="5">
        <f t="shared" si="29"/>
        <v>-0.93729843594887452</v>
      </c>
      <c r="V139">
        <f>MDETERM(R139:T141)</f>
        <v>134.57847751424688</v>
      </c>
      <c r="X139">
        <f>V139*AA129*AA128*AA127</f>
        <v>36.921393008023841</v>
      </c>
    </row>
    <row r="140" spans="1:27" x14ac:dyDescent="0.3">
      <c r="B140" s="2" t="s">
        <v>9</v>
      </c>
      <c r="C140" s="71">
        <f>Z128</f>
        <v>-0.77459699999999998</v>
      </c>
      <c r="E140" s="69">
        <f>-(1-C139)*(1-C141)</f>
        <v>-0.22540300000000002</v>
      </c>
      <c r="F140" s="77">
        <f>-(1+C139)*(1-C141)</f>
        <v>-0.22540300000000002</v>
      </c>
      <c r="G140" s="77">
        <f>(1+C139)*(1-C141)</f>
        <v>0.22540300000000002</v>
      </c>
      <c r="H140" s="77">
        <f>(1-C139)*(1-C141)</f>
        <v>0.22540300000000002</v>
      </c>
      <c r="I140" s="77">
        <f>-(1-C139)*(1+C141)</f>
        <v>-1.774597</v>
      </c>
      <c r="J140" s="77">
        <f>-(1+C139)*(1+C141)</f>
        <v>-1.774597</v>
      </c>
      <c r="K140" s="77">
        <f>(1+C139)*(1+C141)</f>
        <v>1.774597</v>
      </c>
      <c r="L140" s="78">
        <f>(1-C139)*(1+C141)</f>
        <v>1.774597</v>
      </c>
      <c r="N140" s="6">
        <v>-0.45080600000000004</v>
      </c>
      <c r="O140" s="7">
        <v>40</v>
      </c>
      <c r="P140" s="8">
        <v>-8.8729849999999999</v>
      </c>
      <c r="R140" s="6">
        <f t="shared" si="29"/>
        <v>-5.6350750000000005E-2</v>
      </c>
      <c r="S140" s="7">
        <f t="shared" si="29"/>
        <v>5</v>
      </c>
      <c r="T140" s="8">
        <f t="shared" si="29"/>
        <v>-1.109123125</v>
      </c>
    </row>
    <row r="141" spans="1:27" ht="15" thickBot="1" x14ac:dyDescent="0.35">
      <c r="B141" s="2" t="s">
        <v>10</v>
      </c>
      <c r="C141" s="71">
        <f>Z127</f>
        <v>0.77459699999999998</v>
      </c>
      <c r="E141" s="70">
        <f>-(1-C139)*(1-C140)</f>
        <v>-1.774597</v>
      </c>
      <c r="F141" s="79">
        <f>-(1+C139)*(1-C140)</f>
        <v>-1.774597</v>
      </c>
      <c r="G141" s="79">
        <f>-(1+C139)*(1+C140)</f>
        <v>-0.22540300000000002</v>
      </c>
      <c r="H141" s="79">
        <f>-(1-C139)*(1+C140)</f>
        <v>-0.22540300000000002</v>
      </c>
      <c r="I141" s="79">
        <f>(1-C139)*(1-C140)</f>
        <v>1.774597</v>
      </c>
      <c r="J141" s="79">
        <f>(1+C139)*(1-C140)</f>
        <v>1.774597</v>
      </c>
      <c r="K141" s="79">
        <f>(1+C139)*(1+C140)</f>
        <v>0.22540300000000002</v>
      </c>
      <c r="L141" s="80">
        <f>(1-C139)*(1+C140)</f>
        <v>0.22540300000000002</v>
      </c>
      <c r="N141" s="9">
        <v>-3.549194</v>
      </c>
      <c r="O141" s="10">
        <v>0</v>
      </c>
      <c r="P141" s="11">
        <v>42.872985</v>
      </c>
      <c r="R141" s="9">
        <f t="shared" si="29"/>
        <v>-0.44364924999999999</v>
      </c>
      <c r="S141" s="10">
        <f t="shared" si="29"/>
        <v>0</v>
      </c>
      <c r="T141" s="11">
        <f t="shared" si="29"/>
        <v>5.359123125</v>
      </c>
    </row>
    <row r="142" spans="1:27" ht="15" thickBot="1" x14ac:dyDescent="0.35">
      <c r="E142" s="71"/>
      <c r="F142" s="71"/>
      <c r="G142" s="71"/>
      <c r="H142" s="71"/>
      <c r="I142" s="71"/>
      <c r="J142" s="71"/>
      <c r="K142" s="71"/>
      <c r="L142" s="71"/>
    </row>
    <row r="143" spans="1:27" x14ac:dyDescent="0.3">
      <c r="A143">
        <v>23</v>
      </c>
      <c r="B143" s="2" t="s">
        <v>8</v>
      </c>
      <c r="C143" s="71">
        <f>Z129</f>
        <v>0</v>
      </c>
      <c r="E143" s="68">
        <f>-(1-C144)*(1-C145)</f>
        <v>-3.1491945124089997</v>
      </c>
      <c r="F143" s="75">
        <f>(1-C144)*(1-C145)</f>
        <v>3.1491945124089997</v>
      </c>
      <c r="G143" s="75">
        <f>(1+C144)*(1-C145)</f>
        <v>0.39999948759100001</v>
      </c>
      <c r="H143" s="75">
        <f>-(1+C144)*(1-C145)</f>
        <v>-0.39999948759100001</v>
      </c>
      <c r="I143" s="75">
        <f>-(1-C144)*(1+C145)</f>
        <v>-0.39999948759100001</v>
      </c>
      <c r="J143" s="75">
        <f>(1-C144)*(1+C145)</f>
        <v>0.39999948759100001</v>
      </c>
      <c r="K143" s="75">
        <f>(1+C144)*(1+C145)</f>
        <v>5.0806512409000006E-2</v>
      </c>
      <c r="L143" s="76">
        <f>-(1+C144)*(1+C145)</f>
        <v>-5.0806512409000006E-2</v>
      </c>
      <c r="N143" s="3">
        <f t="array" ref="N143:P145">MMULT(E143:L145,$B$3:$D$10)</f>
        <v>46.298389024817993</v>
      </c>
      <c r="O143" s="4">
        <v>0</v>
      </c>
      <c r="P143" s="5">
        <v>-0.95241851240900011</v>
      </c>
      <c r="R143" s="3">
        <f t="shared" ref="R143:T145" si="30">$F$3*N143</f>
        <v>5.7872986281022492</v>
      </c>
      <c r="S143" s="4">
        <f t="shared" si="30"/>
        <v>0</v>
      </c>
      <c r="T143" s="5">
        <f t="shared" si="30"/>
        <v>-0.11905231405112501</v>
      </c>
      <c r="V143">
        <f>MDETERM(R143:T145)</f>
        <v>154.81014219651996</v>
      </c>
      <c r="X143">
        <f>V143*AA129*AA128*AA128</f>
        <v>42.471918298085043</v>
      </c>
    </row>
    <row r="144" spans="1:27" x14ac:dyDescent="0.3">
      <c r="B144" s="2" t="s">
        <v>9</v>
      </c>
      <c r="C144" s="71">
        <f>Z128</f>
        <v>-0.77459699999999998</v>
      </c>
      <c r="E144" s="69">
        <f>-(1-C143)*(1-C145)</f>
        <v>-1.774597</v>
      </c>
      <c r="F144" s="77">
        <f>-(1+C143)*(1-C145)</f>
        <v>-1.774597</v>
      </c>
      <c r="G144" s="77">
        <f>(1+C143)*(1-C145)</f>
        <v>1.774597</v>
      </c>
      <c r="H144" s="77">
        <f>(1-C143)*(1-C145)</f>
        <v>1.774597</v>
      </c>
      <c r="I144" s="77">
        <f>-(1-C143)*(1+C145)</f>
        <v>-0.22540300000000002</v>
      </c>
      <c r="J144" s="77">
        <f>-(1+C143)*(1+C145)</f>
        <v>-0.22540300000000002</v>
      </c>
      <c r="K144" s="77">
        <f>(1+C143)*(1+C145)</f>
        <v>0.22540300000000002</v>
      </c>
      <c r="L144" s="78">
        <f>(1-C143)*(1+C145)</f>
        <v>0.22540300000000002</v>
      </c>
      <c r="N144" s="6">
        <v>-3.549194</v>
      </c>
      <c r="O144" s="7">
        <v>40</v>
      </c>
      <c r="P144" s="8">
        <v>-1.1270150000000001</v>
      </c>
      <c r="R144" s="6">
        <f t="shared" si="30"/>
        <v>-0.44364924999999999</v>
      </c>
      <c r="S144" s="7">
        <f t="shared" si="30"/>
        <v>5</v>
      </c>
      <c r="T144" s="8">
        <f t="shared" si="30"/>
        <v>-0.14087687500000001</v>
      </c>
    </row>
    <row r="145" spans="1:24" ht="15" thickBot="1" x14ac:dyDescent="0.35">
      <c r="B145" s="2" t="s">
        <v>10</v>
      </c>
      <c r="C145" s="71">
        <f>Z128</f>
        <v>-0.77459699999999998</v>
      </c>
      <c r="E145" s="70">
        <f>-(1-C143)*(1-C144)</f>
        <v>-1.774597</v>
      </c>
      <c r="F145" s="79">
        <f>-(1+C143)*(1-C144)</f>
        <v>-1.774597</v>
      </c>
      <c r="G145" s="79">
        <f>-(1+C143)*(1+C144)</f>
        <v>-0.22540300000000002</v>
      </c>
      <c r="H145" s="79">
        <f>-(1-C143)*(1+C144)</f>
        <v>-0.22540300000000002</v>
      </c>
      <c r="I145" s="79">
        <f>(1-C143)*(1-C144)</f>
        <v>1.774597</v>
      </c>
      <c r="J145" s="79">
        <f>(1+C143)*(1-C144)</f>
        <v>1.774597</v>
      </c>
      <c r="K145" s="79">
        <f>(1+C143)*(1+C144)</f>
        <v>0.22540300000000002</v>
      </c>
      <c r="L145" s="80">
        <f>(1-C143)*(1+C144)</f>
        <v>0.22540300000000002</v>
      </c>
      <c r="N145" s="9">
        <v>-3.549194</v>
      </c>
      <c r="O145" s="10">
        <v>0</v>
      </c>
      <c r="P145" s="11">
        <v>42.872985</v>
      </c>
      <c r="R145" s="9">
        <f t="shared" si="30"/>
        <v>-0.44364924999999999</v>
      </c>
      <c r="S145" s="10">
        <f t="shared" si="30"/>
        <v>0</v>
      </c>
      <c r="T145" s="11">
        <f t="shared" si="30"/>
        <v>5.359123125</v>
      </c>
    </row>
    <row r="146" spans="1:24" ht="15" thickBot="1" x14ac:dyDescent="0.35">
      <c r="E146" s="71"/>
      <c r="F146" s="71"/>
      <c r="G146" s="71"/>
      <c r="H146" s="71"/>
      <c r="I146" s="71"/>
      <c r="J146" s="71"/>
      <c r="K146" s="71"/>
      <c r="L146" s="71"/>
    </row>
    <row r="147" spans="1:24" x14ac:dyDescent="0.3">
      <c r="A147">
        <v>24</v>
      </c>
      <c r="B147" s="2" t="s">
        <v>8</v>
      </c>
      <c r="C147" s="71">
        <f>Z129</f>
        <v>0</v>
      </c>
      <c r="E147" s="68">
        <f>-(1-C148)*(1-C149)</f>
        <v>-1.774597</v>
      </c>
      <c r="F147" s="75">
        <f>(1-C148)*(1-C149)</f>
        <v>1.774597</v>
      </c>
      <c r="G147" s="75">
        <f>(1+C148)*(1-C149)</f>
        <v>0.22540300000000002</v>
      </c>
      <c r="H147" s="75">
        <f>-(1+C148)*(1-C149)</f>
        <v>-0.22540300000000002</v>
      </c>
      <c r="I147" s="75">
        <f>-(1-C148)*(1+C149)</f>
        <v>-1.774597</v>
      </c>
      <c r="J147" s="75">
        <f>(1-C148)*(1+C149)</f>
        <v>1.774597</v>
      </c>
      <c r="K147" s="75">
        <f>(1+C148)*(1+C149)</f>
        <v>0.22540300000000002</v>
      </c>
      <c r="L147" s="76">
        <f>-(1+C148)*(1+C149)</f>
        <v>-0.22540300000000002</v>
      </c>
      <c r="N147" s="3">
        <f t="array" ref="N147:P149">MMULT(E147:L149,$B$3:$D$10)</f>
        <v>43.549194</v>
      </c>
      <c r="O147" s="4">
        <v>0</v>
      </c>
      <c r="P147" s="5">
        <v>-4.225403</v>
      </c>
      <c r="R147" s="3">
        <f t="shared" ref="R147:T149" si="31">$F$3*N147</f>
        <v>5.44364925</v>
      </c>
      <c r="S147" s="4">
        <f t="shared" si="31"/>
        <v>0</v>
      </c>
      <c r="T147" s="5">
        <f t="shared" si="31"/>
        <v>-0.528175375</v>
      </c>
      <c r="V147">
        <f>MDETERM(R147:T149)</f>
        <v>144.69430985538344</v>
      </c>
      <c r="X147">
        <f>V147*AA129*AA128*AA129</f>
        <v>63.514649044887108</v>
      </c>
    </row>
    <row r="148" spans="1:24" x14ac:dyDescent="0.3">
      <c r="B148" s="2" t="s">
        <v>9</v>
      </c>
      <c r="C148" s="71">
        <f>Z128</f>
        <v>-0.77459699999999998</v>
      </c>
      <c r="E148" s="69">
        <f>-(1-C147)*(1-C149)</f>
        <v>-1</v>
      </c>
      <c r="F148" s="77">
        <f>-(1+C147)*(1-C149)</f>
        <v>-1</v>
      </c>
      <c r="G148" s="77">
        <f>(1+C147)*(1-C149)</f>
        <v>1</v>
      </c>
      <c r="H148" s="77">
        <f>(1-C147)*(1-C149)</f>
        <v>1</v>
      </c>
      <c r="I148" s="77">
        <f>-(1-C147)*(1+C149)</f>
        <v>-1</v>
      </c>
      <c r="J148" s="77">
        <f>-(1+C147)*(1+C149)</f>
        <v>-1</v>
      </c>
      <c r="K148" s="77">
        <f>(1+C147)*(1+C149)</f>
        <v>1</v>
      </c>
      <c r="L148" s="78">
        <f>(1-C147)*(1+C149)</f>
        <v>1</v>
      </c>
      <c r="N148" s="6">
        <v>-2</v>
      </c>
      <c r="O148" s="7">
        <v>40</v>
      </c>
      <c r="P148" s="8">
        <v>-5</v>
      </c>
      <c r="R148" s="6">
        <f t="shared" si="31"/>
        <v>-0.25</v>
      </c>
      <c r="S148" s="7">
        <f t="shared" si="31"/>
        <v>5</v>
      </c>
      <c r="T148" s="8">
        <f t="shared" si="31"/>
        <v>-0.625</v>
      </c>
    </row>
    <row r="149" spans="1:24" ht="15" thickBot="1" x14ac:dyDescent="0.35">
      <c r="B149" s="2" t="s">
        <v>10</v>
      </c>
      <c r="C149" s="71">
        <f>Z129</f>
        <v>0</v>
      </c>
      <c r="E149" s="70">
        <f>-(1-C147)*(1-C148)</f>
        <v>-1.774597</v>
      </c>
      <c r="F149" s="79">
        <f>-(1+C147)*(1-C148)</f>
        <v>-1.774597</v>
      </c>
      <c r="G149" s="79">
        <f>-(1+C147)*(1+C148)</f>
        <v>-0.22540300000000002</v>
      </c>
      <c r="H149" s="79">
        <f>-(1-C147)*(1+C148)</f>
        <v>-0.22540300000000002</v>
      </c>
      <c r="I149" s="79">
        <f>(1-C147)*(1-C148)</f>
        <v>1.774597</v>
      </c>
      <c r="J149" s="79">
        <f>(1+C147)*(1-C148)</f>
        <v>1.774597</v>
      </c>
      <c r="K149" s="79">
        <f>(1+C147)*(1+C148)</f>
        <v>0.22540300000000002</v>
      </c>
      <c r="L149" s="80">
        <f>(1-C147)*(1+C148)</f>
        <v>0.22540300000000002</v>
      </c>
      <c r="N149" s="9">
        <v>-3.549194</v>
      </c>
      <c r="O149" s="10">
        <v>0</v>
      </c>
      <c r="P149" s="11">
        <v>42.872985</v>
      </c>
      <c r="R149" s="9">
        <f t="shared" si="31"/>
        <v>-0.44364924999999999</v>
      </c>
      <c r="S149" s="10">
        <f t="shared" si="31"/>
        <v>0</v>
      </c>
      <c r="T149" s="11">
        <f t="shared" si="31"/>
        <v>5.359123125</v>
      </c>
    </row>
    <row r="150" spans="1:24" ht="15" thickBot="1" x14ac:dyDescent="0.35">
      <c r="E150" s="71"/>
      <c r="F150" s="71"/>
      <c r="G150" s="71"/>
      <c r="H150" s="71"/>
      <c r="I150" s="71"/>
      <c r="J150" s="71"/>
      <c r="K150" s="71"/>
      <c r="L150" s="71"/>
    </row>
    <row r="151" spans="1:24" x14ac:dyDescent="0.3">
      <c r="A151">
        <v>25</v>
      </c>
      <c r="B151" s="2" t="s">
        <v>8</v>
      </c>
      <c r="C151" s="71">
        <f>Z129</f>
        <v>0</v>
      </c>
      <c r="E151" s="68">
        <f>-(1-C152)*(1-C153)</f>
        <v>-0.22540300000000002</v>
      </c>
      <c r="F151" s="75">
        <f>(1-C152)*(1-C153)</f>
        <v>0.22540300000000002</v>
      </c>
      <c r="G151" s="75">
        <f>(1+C152)*(1-C153)</f>
        <v>0.22540300000000002</v>
      </c>
      <c r="H151" s="75">
        <f>-(1+C152)*(1-C153)</f>
        <v>-0.22540300000000002</v>
      </c>
      <c r="I151" s="75">
        <f>-(1-C152)*(1+C153)</f>
        <v>-1.774597</v>
      </c>
      <c r="J151" s="75">
        <f>(1-C152)*(1+C153)</f>
        <v>1.774597</v>
      </c>
      <c r="K151" s="75">
        <f>(1+C152)*(1+C153)</f>
        <v>1.774597</v>
      </c>
      <c r="L151" s="76">
        <f>-(1+C152)*(1+C153)</f>
        <v>-1.774597</v>
      </c>
      <c r="N151" s="3">
        <f t="array" ref="N151:P153">MMULT(E151:L153,$B$3:$D$10)</f>
        <v>40.450806</v>
      </c>
      <c r="O151" s="4">
        <v>0</v>
      </c>
      <c r="P151" s="5">
        <v>-8.8729849999999999</v>
      </c>
      <c r="R151" s="3">
        <f t="shared" ref="R151:T153" si="32">$F$3*N151</f>
        <v>5.05635075</v>
      </c>
      <c r="S151" s="4">
        <f t="shared" si="32"/>
        <v>0</v>
      </c>
      <c r="T151" s="5">
        <f t="shared" si="32"/>
        <v>-1.109123125</v>
      </c>
      <c r="V151">
        <f>MDETERM(R151:T153)</f>
        <v>121.862145625</v>
      </c>
      <c r="X151">
        <f>V151*AA129*AA129*AA127</f>
        <v>53.492299862825782</v>
      </c>
    </row>
    <row r="152" spans="1:24" x14ac:dyDescent="0.3">
      <c r="B152" s="2" t="s">
        <v>9</v>
      </c>
      <c r="C152" s="71">
        <f>Z129</f>
        <v>0</v>
      </c>
      <c r="E152" s="69">
        <f>-(1-C151)*(1-C153)</f>
        <v>-0.22540300000000002</v>
      </c>
      <c r="F152" s="77">
        <f>-(1+C151)*(1-C153)</f>
        <v>-0.22540300000000002</v>
      </c>
      <c r="G152" s="77">
        <f>(1+C151)*(1-C153)</f>
        <v>0.22540300000000002</v>
      </c>
      <c r="H152" s="77">
        <f>(1-C151)*(1-C153)</f>
        <v>0.22540300000000002</v>
      </c>
      <c r="I152" s="77">
        <f>-(1-C151)*(1+C153)</f>
        <v>-1.774597</v>
      </c>
      <c r="J152" s="77">
        <f>-(1+C151)*(1+C153)</f>
        <v>-1.774597</v>
      </c>
      <c r="K152" s="77">
        <f>(1+C151)*(1+C153)</f>
        <v>1.774597</v>
      </c>
      <c r="L152" s="78">
        <f>(1-C151)*(1+C153)</f>
        <v>1.774597</v>
      </c>
      <c r="N152" s="6">
        <v>-0.45080600000000004</v>
      </c>
      <c r="O152" s="7">
        <v>40</v>
      </c>
      <c r="P152" s="8">
        <v>-8.8729849999999999</v>
      </c>
      <c r="R152" s="6">
        <f t="shared" si="32"/>
        <v>-5.6350750000000005E-2</v>
      </c>
      <c r="S152" s="7">
        <f t="shared" si="32"/>
        <v>5</v>
      </c>
      <c r="T152" s="8">
        <f t="shared" si="32"/>
        <v>-1.109123125</v>
      </c>
    </row>
    <row r="153" spans="1:24" ht="15" thickBot="1" x14ac:dyDescent="0.35">
      <c r="B153" s="2" t="s">
        <v>10</v>
      </c>
      <c r="C153" s="71">
        <f>Z127</f>
        <v>0.77459699999999998</v>
      </c>
      <c r="E153" s="70">
        <f>-(1-C151)*(1-C152)</f>
        <v>-1</v>
      </c>
      <c r="F153" s="79">
        <f>-(1+C151)*(1-C152)</f>
        <v>-1</v>
      </c>
      <c r="G153" s="79">
        <f>-(1+C151)*(1+C152)</f>
        <v>-1</v>
      </c>
      <c r="H153" s="79">
        <f>-(1-C151)*(1+C152)</f>
        <v>-1</v>
      </c>
      <c r="I153" s="79">
        <f>(1-C151)*(1-C152)</f>
        <v>1</v>
      </c>
      <c r="J153" s="79">
        <f>(1+C151)*(1-C152)</f>
        <v>1</v>
      </c>
      <c r="K153" s="79">
        <f>(1+C151)*(1+C152)</f>
        <v>1</v>
      </c>
      <c r="L153" s="80">
        <f>(1-C151)*(1+C152)</f>
        <v>1</v>
      </c>
      <c r="N153" s="9">
        <v>-2</v>
      </c>
      <c r="O153" s="10">
        <v>0</v>
      </c>
      <c r="P153" s="11">
        <v>39</v>
      </c>
      <c r="R153" s="9">
        <f t="shared" si="32"/>
        <v>-0.25</v>
      </c>
      <c r="S153" s="10">
        <f t="shared" si="32"/>
        <v>0</v>
      </c>
      <c r="T153" s="11">
        <f t="shared" si="32"/>
        <v>4.875</v>
      </c>
    </row>
    <row r="154" spans="1:24" ht="15" thickBot="1" x14ac:dyDescent="0.35">
      <c r="E154" s="71"/>
      <c r="F154" s="71"/>
      <c r="G154" s="71"/>
      <c r="H154" s="71"/>
      <c r="I154" s="71"/>
      <c r="J154" s="71"/>
      <c r="K154" s="71"/>
      <c r="L154" s="71"/>
    </row>
    <row r="155" spans="1:24" x14ac:dyDescent="0.3">
      <c r="A155">
        <v>26</v>
      </c>
      <c r="B155" s="2" t="s">
        <v>8</v>
      </c>
      <c r="C155" s="71">
        <f>Z129</f>
        <v>0</v>
      </c>
      <c r="E155" s="68">
        <f>-(1-C156)*(1-C157)</f>
        <v>-1.774597</v>
      </c>
      <c r="F155" s="75">
        <f>(1-C156)*(1-C157)</f>
        <v>1.774597</v>
      </c>
      <c r="G155" s="75">
        <f>(1+C156)*(1-C157)</f>
        <v>1.774597</v>
      </c>
      <c r="H155" s="75">
        <f>-(1+C156)*(1-C157)</f>
        <v>-1.774597</v>
      </c>
      <c r="I155" s="75">
        <f>-(1-C156)*(1+C157)</f>
        <v>-0.22540300000000002</v>
      </c>
      <c r="J155" s="75">
        <f>(1-C156)*(1+C157)</f>
        <v>0.22540300000000002</v>
      </c>
      <c r="K155" s="75">
        <f>(1+C156)*(1+C157)</f>
        <v>0.22540300000000002</v>
      </c>
      <c r="L155" s="76">
        <f>-(1+C156)*(1+C157)</f>
        <v>-0.22540300000000002</v>
      </c>
      <c r="N155" s="3">
        <f t="array" ref="N155:P157">MMULT(E155:L157,$B$3:$D$10)</f>
        <v>43.549194</v>
      </c>
      <c r="O155" s="4">
        <v>0</v>
      </c>
      <c r="P155" s="5">
        <v>-1.1270150000000001</v>
      </c>
      <c r="R155" s="3">
        <f t="shared" ref="R155:T157" si="33">$F$3*N155</f>
        <v>5.44364925</v>
      </c>
      <c r="S155" s="4">
        <f t="shared" si="33"/>
        <v>0</v>
      </c>
      <c r="T155" s="5">
        <f t="shared" si="33"/>
        <v>-0.14087687500000001</v>
      </c>
      <c r="V155">
        <f>MDETERM(R155:T157)</f>
        <v>132.51285437500002</v>
      </c>
      <c r="X155">
        <f>V155*AA129*AA129*AA128</f>
        <v>58.167508093278464</v>
      </c>
    </row>
    <row r="156" spans="1:24" x14ac:dyDescent="0.3">
      <c r="B156" s="2" t="s">
        <v>9</v>
      </c>
      <c r="C156" s="71">
        <f>Z129</f>
        <v>0</v>
      </c>
      <c r="E156" s="69">
        <f>-(1-C155)*(1-C157)</f>
        <v>-1.774597</v>
      </c>
      <c r="F156" s="77">
        <f>-(1+C155)*(1-C157)</f>
        <v>-1.774597</v>
      </c>
      <c r="G156" s="77">
        <f>(1+C155)*(1-C157)</f>
        <v>1.774597</v>
      </c>
      <c r="H156" s="77">
        <f>(1-C155)*(1-C157)</f>
        <v>1.774597</v>
      </c>
      <c r="I156" s="77">
        <f>-(1-C155)*(1+C157)</f>
        <v>-0.22540300000000002</v>
      </c>
      <c r="J156" s="77">
        <f>-(1+C155)*(1+C157)</f>
        <v>-0.22540300000000002</v>
      </c>
      <c r="K156" s="77">
        <f>(1+C155)*(1+C157)</f>
        <v>0.22540300000000002</v>
      </c>
      <c r="L156" s="78">
        <f>(1-C155)*(1+C157)</f>
        <v>0.22540300000000002</v>
      </c>
      <c r="N156" s="6">
        <v>-3.549194</v>
      </c>
      <c r="O156" s="7">
        <v>40</v>
      </c>
      <c r="P156" s="8">
        <v>-1.1270150000000001</v>
      </c>
      <c r="R156" s="6">
        <f t="shared" si="33"/>
        <v>-0.44364924999999999</v>
      </c>
      <c r="S156" s="7">
        <f t="shared" si="33"/>
        <v>5</v>
      </c>
      <c r="T156" s="8">
        <f t="shared" si="33"/>
        <v>-0.14087687500000001</v>
      </c>
    </row>
    <row r="157" spans="1:24" ht="15" thickBot="1" x14ac:dyDescent="0.35">
      <c r="B157" s="2" t="s">
        <v>10</v>
      </c>
      <c r="C157" s="71">
        <f>Z128</f>
        <v>-0.77459699999999998</v>
      </c>
      <c r="E157" s="70">
        <f>-(1-C155)*(1-C156)</f>
        <v>-1</v>
      </c>
      <c r="F157" s="79">
        <f>-(1+C155)*(1-C156)</f>
        <v>-1</v>
      </c>
      <c r="G157" s="79">
        <f>-(1+C155)*(1+C156)</f>
        <v>-1</v>
      </c>
      <c r="H157" s="79">
        <f>-(1-C155)*(1+C156)</f>
        <v>-1</v>
      </c>
      <c r="I157" s="79">
        <f>(1-C155)*(1-C156)</f>
        <v>1</v>
      </c>
      <c r="J157" s="79">
        <f>(1+C155)*(1-C156)</f>
        <v>1</v>
      </c>
      <c r="K157" s="79">
        <f>(1+C155)*(1+C156)</f>
        <v>1</v>
      </c>
      <c r="L157" s="80">
        <f>(1-C155)*(1+C156)</f>
        <v>1</v>
      </c>
      <c r="N157" s="9">
        <v>-2</v>
      </c>
      <c r="O157" s="10">
        <v>0</v>
      </c>
      <c r="P157" s="11">
        <v>39</v>
      </c>
      <c r="R157" s="9">
        <f t="shared" si="33"/>
        <v>-0.25</v>
      </c>
      <c r="S157" s="10">
        <f t="shared" si="33"/>
        <v>0</v>
      </c>
      <c r="T157" s="11">
        <f t="shared" si="33"/>
        <v>4.875</v>
      </c>
    </row>
    <row r="158" spans="1:24" ht="15" thickBot="1" x14ac:dyDescent="0.35">
      <c r="E158" s="71"/>
      <c r="F158" s="71"/>
      <c r="G158" s="71"/>
      <c r="H158" s="71"/>
      <c r="I158" s="71"/>
      <c r="J158" s="71"/>
      <c r="K158" s="71"/>
      <c r="L158" s="71"/>
    </row>
    <row r="159" spans="1:24" x14ac:dyDescent="0.3">
      <c r="A159">
        <v>27</v>
      </c>
      <c r="B159" s="2" t="s">
        <v>8</v>
      </c>
      <c r="C159" s="71">
        <f>Z129</f>
        <v>0</v>
      </c>
      <c r="E159" s="68">
        <f>-(1-C160)*(1-C161)</f>
        <v>-1</v>
      </c>
      <c r="F159" s="75">
        <f>(1-C160)*(1-C161)</f>
        <v>1</v>
      </c>
      <c r="G159" s="75">
        <f>(1+C160)*(1-C161)</f>
        <v>1</v>
      </c>
      <c r="H159" s="75">
        <f>-(1+C160)*(1-C161)</f>
        <v>-1</v>
      </c>
      <c r="I159" s="75">
        <f>-(1-C160)*(1+C161)</f>
        <v>-1</v>
      </c>
      <c r="J159" s="75">
        <f>(1-C160)*(1+C161)</f>
        <v>1</v>
      </c>
      <c r="K159" s="75">
        <f>(1+C160)*(1+C161)</f>
        <v>1</v>
      </c>
      <c r="L159" s="76">
        <f>-(1+C160)*(1+C161)</f>
        <v>-1</v>
      </c>
      <c r="N159" s="3">
        <f t="array" ref="N159:P161">MMULT(E159:L161,$B$3:$D$10)</f>
        <v>42</v>
      </c>
      <c r="O159" s="4">
        <v>0</v>
      </c>
      <c r="P159" s="5">
        <v>-5</v>
      </c>
      <c r="R159" s="3">
        <f t="shared" ref="R159:T161" si="34">$F$3*N159</f>
        <v>5.25</v>
      </c>
      <c r="S159" s="4">
        <f t="shared" si="34"/>
        <v>0</v>
      </c>
      <c r="T159" s="5">
        <f t="shared" si="34"/>
        <v>-0.625</v>
      </c>
      <c r="V159">
        <f>MDETERM(R159:T161)</f>
        <v>127.18749999999999</v>
      </c>
      <c r="X159">
        <f>V159*AA129*AA129*AA129</f>
        <v>89.327846364883385</v>
      </c>
    </row>
    <row r="160" spans="1:24" x14ac:dyDescent="0.3">
      <c r="B160" s="2" t="s">
        <v>9</v>
      </c>
      <c r="C160" s="71">
        <f>Z129</f>
        <v>0</v>
      </c>
      <c r="E160" s="69">
        <f>-(1-C159)*(1-C161)</f>
        <v>-1</v>
      </c>
      <c r="F160" s="77">
        <f>-(1+C159)*(1-C161)</f>
        <v>-1</v>
      </c>
      <c r="G160" s="77">
        <f>(1+C159)*(1-C161)</f>
        <v>1</v>
      </c>
      <c r="H160" s="77">
        <f>(1-C159)*(1-C161)</f>
        <v>1</v>
      </c>
      <c r="I160" s="77">
        <f>-(1-C159)*(1+C161)</f>
        <v>-1</v>
      </c>
      <c r="J160" s="77">
        <f>-(1+C159)*(1+C161)</f>
        <v>-1</v>
      </c>
      <c r="K160" s="77">
        <f>(1+C159)*(1+C161)</f>
        <v>1</v>
      </c>
      <c r="L160" s="78">
        <f>(1-C159)*(1+C161)</f>
        <v>1</v>
      </c>
      <c r="N160" s="6">
        <v>-2</v>
      </c>
      <c r="O160" s="7">
        <v>40</v>
      </c>
      <c r="P160" s="8">
        <v>-5</v>
      </c>
      <c r="R160" s="6">
        <f t="shared" si="34"/>
        <v>-0.25</v>
      </c>
      <c r="S160" s="7">
        <f t="shared" si="34"/>
        <v>5</v>
      </c>
      <c r="T160" s="8">
        <f t="shared" si="34"/>
        <v>-0.625</v>
      </c>
    </row>
    <row r="161" spans="2:25" ht="15" thickBot="1" x14ac:dyDescent="0.35">
      <c r="B161" s="2" t="s">
        <v>10</v>
      </c>
      <c r="C161" s="71">
        <f>Z129</f>
        <v>0</v>
      </c>
      <c r="E161" s="70">
        <f>-(1-C159)*(1-C160)</f>
        <v>-1</v>
      </c>
      <c r="F161" s="79">
        <f>-(1+C159)*(1-C160)</f>
        <v>-1</v>
      </c>
      <c r="G161" s="79">
        <f>-(1+C159)*(1+C160)</f>
        <v>-1</v>
      </c>
      <c r="H161" s="79">
        <f>-(1-C159)*(1+C160)</f>
        <v>-1</v>
      </c>
      <c r="I161" s="79">
        <f>(1-C159)*(1-C160)</f>
        <v>1</v>
      </c>
      <c r="J161" s="79">
        <f>(1+C159)*(1-C160)</f>
        <v>1</v>
      </c>
      <c r="K161" s="79">
        <f>(1+C159)*(1+C160)</f>
        <v>1</v>
      </c>
      <c r="L161" s="80">
        <f>(1-C159)*(1+C160)</f>
        <v>1</v>
      </c>
      <c r="N161" s="9">
        <v>-2</v>
      </c>
      <c r="O161" s="10">
        <v>0</v>
      </c>
      <c r="P161" s="11">
        <v>39</v>
      </c>
      <c r="R161" s="9">
        <f t="shared" si="34"/>
        <v>-0.25</v>
      </c>
      <c r="S161" s="10">
        <f t="shared" si="34"/>
        <v>0</v>
      </c>
      <c r="T161" s="11">
        <f t="shared" si="34"/>
        <v>4.875</v>
      </c>
    </row>
    <row r="162" spans="2:25" x14ac:dyDescent="0.3">
      <c r="X162" s="16">
        <f>SUM(X55:X161)</f>
        <v>1020.0000021350373</v>
      </c>
    </row>
    <row r="164" spans="2:25" x14ac:dyDescent="0.3">
      <c r="B164" s="2" t="s">
        <v>116</v>
      </c>
      <c r="W164" s="2" t="s">
        <v>34</v>
      </c>
      <c r="X164">
        <f>(X162-V46)*100/X162</f>
        <v>4.3787128567663257E-7</v>
      </c>
      <c r="Y164" t="s">
        <v>38</v>
      </c>
    </row>
    <row r="165" spans="2:25" x14ac:dyDescent="0.3">
      <c r="B165" s="73" t="s">
        <v>117</v>
      </c>
    </row>
    <row r="166" spans="2:25" x14ac:dyDescent="0.3">
      <c r="V166" t="s">
        <v>118</v>
      </c>
      <c r="X166" s="82">
        <f>('+V гексы'!H96-'+!V гексы через якобиан'!X162)*100/'+V гексы'!H96</f>
        <v>0.3257326903872238</v>
      </c>
      <c r="Y166" t="s">
        <v>38</v>
      </c>
    </row>
  </sheetData>
  <conditionalFormatting sqref="X166">
    <cfRule type="cellIs" dxfId="0" priority="1" operator="lessThan">
      <formula>3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5"/>
  <sheetViews>
    <sheetView topLeftCell="A22" workbookViewId="0">
      <selection activeCell="P43" sqref="P43"/>
    </sheetView>
  </sheetViews>
  <sheetFormatPr defaultRowHeight="14.4" x14ac:dyDescent="0.3"/>
  <cols>
    <col min="1" max="1" width="11.33203125" customWidth="1"/>
    <col min="6" max="6" width="10.109375" bestFit="1" customWidth="1"/>
    <col min="16" max="16" width="16.5546875" customWidth="1"/>
    <col min="18" max="18" width="11.44140625" bestFit="1" customWidth="1"/>
  </cols>
  <sheetData>
    <row r="1" spans="1:25" ht="15" thickBot="1" x14ac:dyDescent="0.35">
      <c r="F1" t="s">
        <v>18</v>
      </c>
    </row>
    <row r="2" spans="1:25" ht="15" thickBot="1" x14ac:dyDescent="0.35">
      <c r="A2" t="s">
        <v>23</v>
      </c>
      <c r="B2" t="s">
        <v>0</v>
      </c>
      <c r="C2" t="s">
        <v>1</v>
      </c>
      <c r="D2" t="s">
        <v>2</v>
      </c>
      <c r="F2" s="74" t="s">
        <v>119</v>
      </c>
      <c r="O2" s="18">
        <v>0</v>
      </c>
      <c r="P2" s="19">
        <v>0</v>
      </c>
      <c r="Q2" s="20">
        <v>0</v>
      </c>
      <c r="S2" s="18">
        <v>0</v>
      </c>
      <c r="T2" s="19">
        <v>0</v>
      </c>
      <c r="U2" s="20">
        <v>0</v>
      </c>
      <c r="W2" s="18">
        <v>0</v>
      </c>
      <c r="X2" s="19">
        <v>0</v>
      </c>
      <c r="Y2" s="20">
        <v>0</v>
      </c>
    </row>
    <row r="3" spans="1:25" x14ac:dyDescent="0.3">
      <c r="A3">
        <v>1</v>
      </c>
      <c r="B3" s="18">
        <f>'+V гексы'!B4</f>
        <v>0</v>
      </c>
      <c r="C3" s="19">
        <f>'+V гексы'!C4</f>
        <v>0</v>
      </c>
      <c r="D3" s="20">
        <f>'+V гексы'!D4</f>
        <v>0</v>
      </c>
      <c r="O3" s="21">
        <v>10</v>
      </c>
      <c r="P3" s="22">
        <v>0</v>
      </c>
      <c r="Q3" s="23">
        <v>0</v>
      </c>
      <c r="S3" s="21">
        <v>10</v>
      </c>
      <c r="T3" s="22">
        <v>0</v>
      </c>
      <c r="U3" s="23">
        <v>0</v>
      </c>
      <c r="W3" s="21">
        <v>10</v>
      </c>
      <c r="X3" s="22">
        <v>0</v>
      </c>
      <c r="Y3" s="23">
        <v>0</v>
      </c>
    </row>
    <row r="4" spans="1:25" x14ac:dyDescent="0.3">
      <c r="A4">
        <v>2</v>
      </c>
      <c r="B4" s="21">
        <f>'+V гексы'!B5</f>
        <v>12</v>
      </c>
      <c r="C4" s="22">
        <f>'+V гексы'!C5</f>
        <v>0</v>
      </c>
      <c r="D4" s="23">
        <f>'+V гексы'!D5</f>
        <v>0</v>
      </c>
      <c r="O4" s="21">
        <v>10</v>
      </c>
      <c r="P4" s="22">
        <v>5</v>
      </c>
      <c r="Q4" s="23">
        <v>0</v>
      </c>
      <c r="S4" s="21">
        <v>10</v>
      </c>
      <c r="T4" s="22">
        <v>5</v>
      </c>
      <c r="U4" s="23">
        <v>0</v>
      </c>
      <c r="W4" s="21">
        <v>10</v>
      </c>
      <c r="X4" s="22">
        <v>5</v>
      </c>
      <c r="Y4" s="23">
        <v>0</v>
      </c>
    </row>
    <row r="5" spans="1:25" x14ac:dyDescent="0.3">
      <c r="A5">
        <v>3</v>
      </c>
      <c r="B5" s="21">
        <f>'+V гексы'!B7</f>
        <v>0</v>
      </c>
      <c r="C5" s="22">
        <f>'+V гексы'!C7</f>
        <v>10</v>
      </c>
      <c r="D5" s="23">
        <f>'+V гексы'!D7</f>
        <v>0</v>
      </c>
      <c r="O5" s="21">
        <v>-3</v>
      </c>
      <c r="P5" s="22">
        <v>-5</v>
      </c>
      <c r="Q5" s="23">
        <v>10</v>
      </c>
      <c r="S5" s="21">
        <v>0</v>
      </c>
      <c r="T5" s="22">
        <v>0</v>
      </c>
      <c r="U5" s="23">
        <v>10</v>
      </c>
      <c r="W5" s="21">
        <v>0</v>
      </c>
      <c r="X5" s="22">
        <v>0</v>
      </c>
      <c r="Y5" s="23">
        <v>10</v>
      </c>
    </row>
    <row r="6" spans="1:25" x14ac:dyDescent="0.3">
      <c r="A6">
        <v>4</v>
      </c>
      <c r="B6" s="21">
        <f>'+V гексы'!B8</f>
        <v>0</v>
      </c>
      <c r="C6" s="22">
        <f>'+V гексы'!C8</f>
        <v>0</v>
      </c>
      <c r="D6" s="23">
        <f>'+V гексы'!D8</f>
        <v>12</v>
      </c>
      <c r="O6" s="45">
        <v>-5</v>
      </c>
      <c r="P6" s="46">
        <v>5</v>
      </c>
      <c r="Q6" s="47">
        <v>10</v>
      </c>
      <c r="S6" s="45">
        <v>5</v>
      </c>
      <c r="T6" s="46">
        <v>0</v>
      </c>
      <c r="U6" s="47">
        <v>10</v>
      </c>
      <c r="W6" s="45">
        <v>12</v>
      </c>
      <c r="X6" s="46">
        <v>0</v>
      </c>
      <c r="Y6" s="47">
        <v>10</v>
      </c>
    </row>
    <row r="7" spans="1:25" ht="15" thickBot="1" x14ac:dyDescent="0.35">
      <c r="A7">
        <v>5</v>
      </c>
      <c r="B7" s="45">
        <f>'+V гексы'!B9</f>
        <v>10</v>
      </c>
      <c r="C7" s="46">
        <f>'+V гексы'!C9</f>
        <v>0</v>
      </c>
      <c r="D7" s="47">
        <f>'+V гексы'!D9</f>
        <v>10</v>
      </c>
      <c r="E7" s="44"/>
      <c r="F7" s="44"/>
      <c r="G7" s="44"/>
      <c r="O7" s="48">
        <v>-5</v>
      </c>
      <c r="P7" s="49">
        <v>-5</v>
      </c>
      <c r="Q7" s="50">
        <v>10</v>
      </c>
      <c r="S7" s="48">
        <v>-2</v>
      </c>
      <c r="T7" s="49">
        <v>5</v>
      </c>
      <c r="U7" s="50">
        <v>10</v>
      </c>
      <c r="W7" s="48">
        <v>10</v>
      </c>
      <c r="X7" s="49">
        <v>5</v>
      </c>
      <c r="Y7" s="50">
        <v>10</v>
      </c>
    </row>
    <row r="8" spans="1:25" ht="15" thickBot="1" x14ac:dyDescent="0.35">
      <c r="A8">
        <v>6</v>
      </c>
      <c r="B8" s="48">
        <f>'+V гексы'!B11</f>
        <v>0</v>
      </c>
      <c r="C8" s="49">
        <f>'+V гексы'!C11</f>
        <v>10</v>
      </c>
      <c r="D8" s="50">
        <f>'+V гексы'!D11</f>
        <v>10</v>
      </c>
      <c r="E8" s="44"/>
      <c r="F8" s="44"/>
      <c r="G8" s="44"/>
      <c r="P8" s="44"/>
      <c r="Q8" s="44"/>
      <c r="R8" s="44"/>
    </row>
    <row r="9" spans="1:25" ht="31.2" x14ac:dyDescent="0.3">
      <c r="D9" t="s">
        <v>7</v>
      </c>
      <c r="O9" s="51" t="s">
        <v>56</v>
      </c>
      <c r="P9" s="44">
        <f>-3.7</f>
        <v>-3.7</v>
      </c>
      <c r="Q9" s="44"/>
      <c r="R9" s="44"/>
      <c r="S9">
        <v>1.47</v>
      </c>
      <c r="W9">
        <v>1.1000000000000001</v>
      </c>
    </row>
    <row r="11" spans="1:25" x14ac:dyDescent="0.3">
      <c r="E11" t="s">
        <v>7</v>
      </c>
    </row>
    <row r="20" spans="1:25" x14ac:dyDescent="0.3">
      <c r="H20" t="s">
        <v>19</v>
      </c>
    </row>
    <row r="22" spans="1:25" s="13" customFormat="1" x14ac:dyDescent="0.3">
      <c r="S22"/>
      <c r="T22"/>
      <c r="U22"/>
      <c r="V22"/>
      <c r="W22"/>
      <c r="X22"/>
      <c r="Y22"/>
    </row>
    <row r="23" spans="1:25" s="13" customFormat="1" ht="15" thickBot="1" x14ac:dyDescent="0.35">
      <c r="A23" t="s">
        <v>27</v>
      </c>
      <c r="B23" t="s">
        <v>33</v>
      </c>
      <c r="C23" t="s">
        <v>55</v>
      </c>
      <c r="D23"/>
      <c r="E23" t="s">
        <v>30</v>
      </c>
      <c r="F23"/>
      <c r="G23"/>
      <c r="H23"/>
      <c r="I23"/>
      <c r="J23"/>
      <c r="L23" t="s">
        <v>29</v>
      </c>
      <c r="M23"/>
      <c r="N23"/>
      <c r="O23"/>
      <c r="P23" t="s">
        <v>17</v>
      </c>
      <c r="R23" s="63" t="s">
        <v>104</v>
      </c>
      <c r="S23"/>
      <c r="T23"/>
      <c r="U23"/>
      <c r="V23"/>
      <c r="W23"/>
      <c r="X23"/>
      <c r="Y23"/>
    </row>
    <row r="24" spans="1:25" s="13" customFormat="1" x14ac:dyDescent="0.3">
      <c r="A24" s="15">
        <v>1</v>
      </c>
      <c r="B24" s="14" t="s">
        <v>8</v>
      </c>
      <c r="C24" s="13">
        <f>1/3</f>
        <v>0.33333333333333331</v>
      </c>
      <c r="E24" s="34">
        <f>-(1-C26)/2</f>
        <v>-0.21129999999999999</v>
      </c>
      <c r="F24" s="35">
        <f>(1-C26)/2</f>
        <v>0.21129999999999999</v>
      </c>
      <c r="G24" s="35">
        <v>0</v>
      </c>
      <c r="H24" s="35">
        <f>-(1+C26)/2</f>
        <v>-0.78869999999999996</v>
      </c>
      <c r="I24" s="35">
        <f>(1+C26)/2</f>
        <v>0.78869999999999996</v>
      </c>
      <c r="J24" s="36">
        <v>0</v>
      </c>
      <c r="L24" s="34">
        <f t="array" ref="L24:N26">MMULT(E24:J26,$B$3:$D$8)</f>
        <v>10.422599999999999</v>
      </c>
      <c r="M24" s="35">
        <v>0</v>
      </c>
      <c r="N24" s="36">
        <v>-1.5773999999999999</v>
      </c>
      <c r="P24" s="13">
        <f>MDETERM(L24:N26)</f>
        <v>550.61400000000003</v>
      </c>
      <c r="R24" s="13">
        <f>0.5*P24</f>
        <v>275.30700000000002</v>
      </c>
      <c r="S24"/>
      <c r="T24"/>
      <c r="U24"/>
      <c r="V24"/>
      <c r="W24"/>
      <c r="X24"/>
      <c r="Y24"/>
    </row>
    <row r="25" spans="1:25" s="13" customFormat="1" x14ac:dyDescent="0.3">
      <c r="B25" s="14" t="s">
        <v>9</v>
      </c>
      <c r="C25" s="13">
        <f>1/3</f>
        <v>0.33333333333333331</v>
      </c>
      <c r="E25" s="37">
        <f>-(1-C26)/2</f>
        <v>-0.21129999999999999</v>
      </c>
      <c r="F25" s="38">
        <v>0</v>
      </c>
      <c r="G25" s="38">
        <f>(1-C26)/2</f>
        <v>0.21129999999999999</v>
      </c>
      <c r="H25" s="38">
        <f>-(1+C26)/2</f>
        <v>-0.78869999999999996</v>
      </c>
      <c r="I25" s="38">
        <v>0</v>
      </c>
      <c r="J25" s="39">
        <f>(1+C26)/2</f>
        <v>0.78869999999999996</v>
      </c>
      <c r="L25" s="37">
        <v>0</v>
      </c>
      <c r="M25" s="38">
        <v>10</v>
      </c>
      <c r="N25" s="39">
        <v>-1.5773999999999999</v>
      </c>
      <c r="S25"/>
      <c r="T25"/>
      <c r="U25"/>
      <c r="V25"/>
      <c r="W25"/>
      <c r="X25"/>
      <c r="Y25"/>
    </row>
    <row r="26" spans="1:25" s="13" customFormat="1" ht="15" thickBot="1" x14ac:dyDescent="0.35">
      <c r="B26" s="14" t="s">
        <v>10</v>
      </c>
      <c r="C26" s="13">
        <v>0.57740000000000002</v>
      </c>
      <c r="E26" s="40">
        <f>-0.5*(1-C24-C25)</f>
        <v>-0.16666666666666671</v>
      </c>
      <c r="F26" s="41">
        <f>-0.5*C24</f>
        <v>-0.16666666666666666</v>
      </c>
      <c r="G26" s="41">
        <f>-0.5*C25</f>
        <v>-0.16666666666666666</v>
      </c>
      <c r="H26" s="41">
        <f>0.5*(1-C24-C25)</f>
        <v>0.16666666666666671</v>
      </c>
      <c r="I26" s="41">
        <f>0.5*C24</f>
        <v>0.16666666666666666</v>
      </c>
      <c r="J26" s="42">
        <f>0.5*C25</f>
        <v>0.16666666666666666</v>
      </c>
      <c r="L26" s="40">
        <v>-0.33333333333333348</v>
      </c>
      <c r="M26" s="41">
        <v>0</v>
      </c>
      <c r="N26" s="42">
        <v>5.3333333333333339</v>
      </c>
      <c r="S26"/>
      <c r="T26"/>
      <c r="U26"/>
      <c r="V26"/>
      <c r="W26"/>
      <c r="X26"/>
      <c r="Y26"/>
    </row>
    <row r="27" spans="1:25" s="13" customFormat="1" ht="15" thickBot="1" x14ac:dyDescent="0.35">
      <c r="S27"/>
      <c r="T27"/>
      <c r="U27"/>
      <c r="V27"/>
      <c r="W27"/>
      <c r="X27"/>
      <c r="Y27"/>
    </row>
    <row r="28" spans="1:25" s="13" customFormat="1" x14ac:dyDescent="0.3">
      <c r="A28" s="15">
        <v>2</v>
      </c>
      <c r="B28" s="14" t="s">
        <v>8</v>
      </c>
      <c r="C28" s="13">
        <f>1/3</f>
        <v>0.33333333333333331</v>
      </c>
      <c r="E28" s="34">
        <f>-(1-C30)/2</f>
        <v>-0.78867500000000001</v>
      </c>
      <c r="F28" s="35">
        <f>(1-C30)/2</f>
        <v>0.78867500000000001</v>
      </c>
      <c r="G28" s="35">
        <v>0</v>
      </c>
      <c r="H28" s="35">
        <f>-(1+C30)/2</f>
        <v>-0.21132499999999999</v>
      </c>
      <c r="I28" s="35">
        <f>(1+C30)/2</f>
        <v>0.21132499999999999</v>
      </c>
      <c r="J28" s="36">
        <v>0</v>
      </c>
      <c r="L28" s="34">
        <f t="array" ref="L28:N30">MMULT(E28:J30,$B$3:$D$8)</f>
        <v>11.577349999999999</v>
      </c>
      <c r="M28" s="35">
        <v>0</v>
      </c>
      <c r="N28" s="36">
        <v>-0.42264999999999997</v>
      </c>
      <c r="P28" s="13">
        <f>MDETERM(L28:N30)</f>
        <v>616.04983333333325</v>
      </c>
      <c r="R28" s="13">
        <f>P28*0.5</f>
        <v>308.02491666666663</v>
      </c>
      <c r="S28"/>
      <c r="T28"/>
      <c r="U28"/>
      <c r="V28"/>
      <c r="W28"/>
      <c r="X28"/>
      <c r="Y28"/>
    </row>
    <row r="29" spans="1:25" s="13" customFormat="1" x14ac:dyDescent="0.3">
      <c r="B29" s="14" t="s">
        <v>9</v>
      </c>
      <c r="C29" s="13">
        <f>1/3</f>
        <v>0.33333333333333331</v>
      </c>
      <c r="E29" s="37">
        <f>-(1-C30)/2</f>
        <v>-0.78867500000000001</v>
      </c>
      <c r="F29" s="38">
        <v>0</v>
      </c>
      <c r="G29" s="38">
        <f>(1-C30)/2</f>
        <v>0.78867500000000001</v>
      </c>
      <c r="H29" s="38">
        <f>-(1+C30)/2</f>
        <v>-0.21132499999999999</v>
      </c>
      <c r="I29" s="38">
        <v>0</v>
      </c>
      <c r="J29" s="39">
        <f>(1+C30)/2</f>
        <v>0.21132499999999999</v>
      </c>
      <c r="L29" s="37">
        <v>0</v>
      </c>
      <c r="M29" s="38">
        <v>10</v>
      </c>
      <c r="N29" s="39">
        <v>-0.42264999999999997</v>
      </c>
      <c r="S29"/>
      <c r="T29"/>
      <c r="U29"/>
      <c r="V29"/>
      <c r="W29"/>
      <c r="X29"/>
      <c r="Y29"/>
    </row>
    <row r="30" spans="1:25" s="13" customFormat="1" ht="15" thickBot="1" x14ac:dyDescent="0.35">
      <c r="B30" s="14" t="s">
        <v>10</v>
      </c>
      <c r="C30" s="13">
        <v>-0.57735000000000003</v>
      </c>
      <c r="E30" s="40">
        <f>-0.5*(1-C28-C29)</f>
        <v>-0.16666666666666671</v>
      </c>
      <c r="F30" s="41">
        <f>-0.5*C28</f>
        <v>-0.16666666666666666</v>
      </c>
      <c r="G30" s="41">
        <f>-0.5*C29</f>
        <v>-0.16666666666666666</v>
      </c>
      <c r="H30" s="41">
        <f>0.5*(1-C28-C29)</f>
        <v>0.16666666666666671</v>
      </c>
      <c r="I30" s="41">
        <f>0.5*C28</f>
        <v>0.16666666666666666</v>
      </c>
      <c r="J30" s="42">
        <f>0.5*C29</f>
        <v>0.16666666666666666</v>
      </c>
      <c r="L30" s="40">
        <v>-0.33333333333333348</v>
      </c>
      <c r="M30" s="41">
        <v>0</v>
      </c>
      <c r="N30" s="42">
        <v>5.3333333333333339</v>
      </c>
      <c r="S30"/>
      <c r="T30"/>
      <c r="U30"/>
      <c r="V30"/>
      <c r="W30"/>
      <c r="X30"/>
      <c r="Y30"/>
    </row>
    <row r="31" spans="1:25" s="13" customFormat="1" x14ac:dyDescent="0.3">
      <c r="Q31" s="33" t="s">
        <v>32</v>
      </c>
      <c r="R31" s="33">
        <f>SUM(R24:R30)</f>
        <v>583.33191666666664</v>
      </c>
      <c r="S31"/>
      <c r="T31"/>
      <c r="U31"/>
      <c r="V31"/>
      <c r="W31"/>
      <c r="X31"/>
      <c r="Y31"/>
    </row>
    <row r="32" spans="1:25" s="13" customFormat="1" x14ac:dyDescent="0.3"/>
    <row r="33" spans="1:20" s="13" customFormat="1" x14ac:dyDescent="0.3"/>
    <row r="34" spans="1:20" s="13" customFormat="1" x14ac:dyDescent="0.3"/>
    <row r="35" spans="1:20" s="13" customFormat="1" ht="31.2" x14ac:dyDescent="0.3">
      <c r="Q35" s="51" t="s">
        <v>56</v>
      </c>
      <c r="R35" s="13">
        <f>R24/R28</f>
        <v>0.8937815907208807</v>
      </c>
    </row>
    <row r="36" spans="1:20" s="13" customFormat="1" ht="31.2" x14ac:dyDescent="0.3">
      <c r="Q36" s="51" t="s">
        <v>56</v>
      </c>
      <c r="R36" s="13">
        <f>R28/R24</f>
        <v>1.1188415720147566</v>
      </c>
    </row>
    <row r="37" spans="1:20" s="13" customFormat="1" x14ac:dyDescent="0.3">
      <c r="A37" s="13" t="s">
        <v>125</v>
      </c>
    </row>
    <row r="38" spans="1:20" s="13" customFormat="1" ht="15" thickBot="1" x14ac:dyDescent="0.35">
      <c r="A38" t="s">
        <v>27</v>
      </c>
      <c r="B38" t="s">
        <v>33</v>
      </c>
      <c r="C38" t="s">
        <v>55</v>
      </c>
      <c r="D38"/>
      <c r="E38" t="s">
        <v>30</v>
      </c>
      <c r="F38"/>
      <c r="G38"/>
      <c r="H38"/>
      <c r="I38"/>
      <c r="J38"/>
      <c r="L38" t="s">
        <v>29</v>
      </c>
      <c r="M38"/>
      <c r="N38"/>
      <c r="O38"/>
      <c r="P38" t="s">
        <v>17</v>
      </c>
      <c r="R38"/>
    </row>
    <row r="39" spans="1:20" s="13" customFormat="1" x14ac:dyDescent="0.3">
      <c r="A39" s="15">
        <v>1</v>
      </c>
      <c r="B39" s="14" t="s">
        <v>8</v>
      </c>
      <c r="C39" s="13">
        <f>1/3</f>
        <v>0.33333333333333331</v>
      </c>
      <c r="E39" s="34">
        <f>-(1-C41)/2</f>
        <v>-0.5</v>
      </c>
      <c r="F39" s="35">
        <f>(1-C41)/2</f>
        <v>0.5</v>
      </c>
      <c r="G39" s="35">
        <v>0</v>
      </c>
      <c r="H39" s="35">
        <f>-(1+C41)/2</f>
        <v>-0.5</v>
      </c>
      <c r="I39" s="35">
        <f>(1+C41)/2</f>
        <v>0.5</v>
      </c>
      <c r="J39" s="36">
        <v>0</v>
      </c>
      <c r="L39" s="34">
        <f t="array" ref="L39:N41">MMULT(E39:J41,$B$3:$D$8)</f>
        <v>11</v>
      </c>
      <c r="M39" s="35">
        <v>0</v>
      </c>
      <c r="N39" s="36">
        <v>-1</v>
      </c>
      <c r="P39" s="13">
        <f>MDETERM(L39:N41)</f>
        <v>583.33333333333337</v>
      </c>
      <c r="R39" s="33">
        <f>P39*2*0.5</f>
        <v>583.33333333333337</v>
      </c>
    </row>
    <row r="40" spans="1:20" s="13" customFormat="1" x14ac:dyDescent="0.3">
      <c r="B40" s="14" t="s">
        <v>9</v>
      </c>
      <c r="C40" s="13">
        <f>1/3</f>
        <v>0.33333333333333331</v>
      </c>
      <c r="E40" s="37">
        <f>-(1-C41)/2</f>
        <v>-0.5</v>
      </c>
      <c r="F40" s="38">
        <v>0</v>
      </c>
      <c r="G40" s="38">
        <f>(1-C41)/2</f>
        <v>0.5</v>
      </c>
      <c r="H40" s="38">
        <f>-(1+C41)/2</f>
        <v>-0.5</v>
      </c>
      <c r="I40" s="38">
        <v>0</v>
      </c>
      <c r="J40" s="39">
        <f>(1+C41)/2</f>
        <v>0.5</v>
      </c>
      <c r="L40" s="37">
        <v>0</v>
      </c>
      <c r="M40" s="38">
        <v>10</v>
      </c>
      <c r="N40" s="39">
        <v>-1</v>
      </c>
    </row>
    <row r="41" spans="1:20" s="13" customFormat="1" ht="15" thickBot="1" x14ac:dyDescent="0.35">
      <c r="B41" s="14" t="s">
        <v>10</v>
      </c>
      <c r="C41" s="13">
        <v>0</v>
      </c>
      <c r="E41" s="40">
        <f>-0.5*(1-C39-C40)</f>
        <v>-0.16666666666666671</v>
      </c>
      <c r="F41" s="41">
        <f>-0.5*C39</f>
        <v>-0.16666666666666666</v>
      </c>
      <c r="G41" s="41">
        <f>-0.5*C40</f>
        <v>-0.16666666666666666</v>
      </c>
      <c r="H41" s="41">
        <f>0.5*(1-C39-C40)</f>
        <v>0.16666666666666671</v>
      </c>
      <c r="I41" s="41">
        <f>0.5*C39</f>
        <v>0.16666666666666666</v>
      </c>
      <c r="J41" s="42">
        <f>0.5*C40</f>
        <v>0.16666666666666666</v>
      </c>
      <c r="L41" s="40">
        <v>-0.33333333333333348</v>
      </c>
      <c r="M41" s="41">
        <v>0</v>
      </c>
      <c r="N41" s="42">
        <v>5.3333333333333339</v>
      </c>
    </row>
    <row r="42" spans="1:20" s="13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0" s="13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0" s="13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0" s="13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0" s="13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0" s="13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0" s="13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="13" customFormat="1" x14ac:dyDescent="0.3"/>
    <row r="50" s="13" customFormat="1" x14ac:dyDescent="0.3"/>
    <row r="51" s="13" customFormat="1" x14ac:dyDescent="0.3"/>
    <row r="52" s="13" customFormat="1" x14ac:dyDescent="0.3"/>
    <row r="53" s="13" customFormat="1" x14ac:dyDescent="0.3"/>
    <row r="54" s="13" customFormat="1" x14ac:dyDescent="0.3"/>
    <row r="55" s="13" customFormat="1" x14ac:dyDescent="0.3"/>
  </sheetData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1"/>
  <sheetViews>
    <sheetView topLeftCell="A10" workbookViewId="0">
      <selection activeCell="S29" sqref="S29:U31"/>
    </sheetView>
  </sheetViews>
  <sheetFormatPr defaultRowHeight="14.4" x14ac:dyDescent="0.3"/>
  <cols>
    <col min="5" max="5" width="9.109375" bestFit="1" customWidth="1"/>
    <col min="14" max="16" width="9.44140625" bestFit="1" customWidth="1"/>
    <col min="22" max="22" width="10.44140625" bestFit="1" customWidth="1"/>
    <col min="23" max="23" width="11.44140625" bestFit="1" customWidth="1"/>
  </cols>
  <sheetData>
    <row r="2" spans="1:24" ht="15" thickBot="1" x14ac:dyDescent="0.35">
      <c r="B2" t="s">
        <v>11</v>
      </c>
      <c r="C2" t="s">
        <v>12</v>
      </c>
      <c r="D2" t="s">
        <v>13</v>
      </c>
      <c r="F2" t="s">
        <v>14</v>
      </c>
      <c r="H2" t="s">
        <v>15</v>
      </c>
    </row>
    <row r="3" spans="1:24" ht="15" thickBot="1" x14ac:dyDescent="0.35">
      <c r="A3">
        <v>1</v>
      </c>
      <c r="B3" s="18">
        <f>'+NTNdetJ для гексы'!B4</f>
        <v>0</v>
      </c>
      <c r="C3" s="18">
        <f>'+NTNdetJ для гексы'!C4</f>
        <v>0</v>
      </c>
      <c r="D3" s="18">
        <f>'+NTNdetJ для гексы'!D4</f>
        <v>0</v>
      </c>
      <c r="F3">
        <f>1/8</f>
        <v>0.125</v>
      </c>
      <c r="H3">
        <v>0.57735000000000003</v>
      </c>
    </row>
    <row r="4" spans="1:24" ht="15" thickBot="1" x14ac:dyDescent="0.35">
      <c r="A4">
        <v>2</v>
      </c>
      <c r="B4" s="18">
        <f>'+NTNdetJ для гексы'!B5</f>
        <v>12</v>
      </c>
      <c r="C4" s="18">
        <f>'+NTNdetJ для гексы'!C5</f>
        <v>0</v>
      </c>
      <c r="D4" s="18">
        <f>'+NTNdetJ для гексы'!D5</f>
        <v>0</v>
      </c>
      <c r="H4">
        <f>-H3</f>
        <v>-0.57735000000000003</v>
      </c>
    </row>
    <row r="5" spans="1:24" ht="15" thickBot="1" x14ac:dyDescent="0.35">
      <c r="A5">
        <v>3</v>
      </c>
      <c r="B5" s="18">
        <f>'+NTNdetJ для гексы'!B6</f>
        <v>10</v>
      </c>
      <c r="C5" s="18">
        <f>'+NTNdetJ для гексы'!C6</f>
        <v>10</v>
      </c>
      <c r="D5" s="18">
        <f>'+NTNdetJ для гексы'!D6</f>
        <v>0</v>
      </c>
    </row>
    <row r="6" spans="1:24" ht="15" thickBot="1" x14ac:dyDescent="0.35">
      <c r="A6">
        <v>4</v>
      </c>
      <c r="B6" s="18">
        <f>'+NTNdetJ для гексы'!B7</f>
        <v>0</v>
      </c>
      <c r="C6" s="18">
        <f>'+NTNdetJ для гексы'!C7</f>
        <v>10</v>
      </c>
      <c r="D6" s="18">
        <f>'+NTNdetJ для гексы'!D7</f>
        <v>0</v>
      </c>
    </row>
    <row r="7" spans="1:24" ht="15" thickBot="1" x14ac:dyDescent="0.35">
      <c r="A7">
        <v>5</v>
      </c>
      <c r="B7" s="18">
        <f>'+NTNdetJ для гексы'!B8</f>
        <v>0</v>
      </c>
      <c r="C7" s="18">
        <f>'+NTNdetJ для гексы'!C8</f>
        <v>0</v>
      </c>
      <c r="D7" s="18">
        <f>'+NTNdetJ для гексы'!D8</f>
        <v>12</v>
      </c>
    </row>
    <row r="8" spans="1:24" ht="15" thickBot="1" x14ac:dyDescent="0.35">
      <c r="A8">
        <v>6</v>
      </c>
      <c r="B8" s="18">
        <f>'+NTNdetJ для гексы'!B9</f>
        <v>10</v>
      </c>
      <c r="C8" s="18">
        <f>'+NTNdetJ для гексы'!C9</f>
        <v>0</v>
      </c>
      <c r="D8" s="18">
        <f>'+NTNdetJ для гексы'!D9</f>
        <v>10</v>
      </c>
    </row>
    <row r="9" spans="1:24" ht="15" thickBot="1" x14ac:dyDescent="0.35">
      <c r="A9">
        <v>7</v>
      </c>
      <c r="B9" s="18">
        <f>'+NTNdetJ для гексы'!B10</f>
        <v>10</v>
      </c>
      <c r="C9" s="18">
        <f>'+NTNdetJ для гексы'!C10</f>
        <v>10</v>
      </c>
      <c r="D9" s="18">
        <f>'+NTNdetJ для гексы'!D10</f>
        <v>7</v>
      </c>
    </row>
    <row r="10" spans="1:24" x14ac:dyDescent="0.3">
      <c r="A10">
        <v>8</v>
      </c>
      <c r="B10" s="18">
        <f>'+NTNdetJ для гексы'!B11</f>
        <v>0</v>
      </c>
      <c r="C10" s="18">
        <f>'+NTNdetJ для гексы'!C11</f>
        <v>10</v>
      </c>
      <c r="D10" s="18">
        <f>'+NTNdetJ для гексы'!D11</f>
        <v>10</v>
      </c>
    </row>
    <row r="12" spans="1:24" x14ac:dyDescent="0.3">
      <c r="W12" s="16">
        <f>W14+W29+W44+W59+W74+W89+W104+W119</f>
        <v>846.5625</v>
      </c>
    </row>
    <row r="13" spans="1:24" ht="15" thickBot="1" x14ac:dyDescent="0.35">
      <c r="A13" t="s">
        <v>27</v>
      </c>
      <c r="B13" t="s">
        <v>33</v>
      </c>
      <c r="C13" t="s">
        <v>28</v>
      </c>
      <c r="E13" t="s">
        <v>30</v>
      </c>
      <c r="N13" t="s">
        <v>31</v>
      </c>
      <c r="R13" t="s">
        <v>29</v>
      </c>
      <c r="V13" t="s">
        <v>17</v>
      </c>
      <c r="W13" t="s">
        <v>77</v>
      </c>
      <c r="X13" t="s">
        <v>76</v>
      </c>
    </row>
    <row r="14" spans="1:24" ht="15" thickBot="1" x14ac:dyDescent="0.35">
      <c r="A14">
        <v>1</v>
      </c>
      <c r="B14" s="2" t="s">
        <v>8</v>
      </c>
      <c r="C14">
        <v>0.5</v>
      </c>
      <c r="E14" s="68">
        <f>-(1-C15)*(1-C16)</f>
        <v>-0.25</v>
      </c>
      <c r="F14" s="75">
        <f>(1-C15)*(1-C16)</f>
        <v>0.25</v>
      </c>
      <c r="G14" s="75">
        <f>(1+C15)*(1-C16)</f>
        <v>0.75</v>
      </c>
      <c r="H14" s="75">
        <f>-(1+C15)*(1-C16)</f>
        <v>-0.75</v>
      </c>
      <c r="I14" s="75">
        <f>-(1-C15)*(1+C16)</f>
        <v>-0.75</v>
      </c>
      <c r="J14" s="75">
        <f>(1-C15)*(1+C16)</f>
        <v>0.75</v>
      </c>
      <c r="K14" s="75">
        <f>(1+C15)*(1+C16)</f>
        <v>2.25</v>
      </c>
      <c r="L14" s="81">
        <f>-(1+C15)*(1+C16)</f>
        <v>-2.25</v>
      </c>
      <c r="M14" s="71"/>
      <c r="N14" s="68">
        <f t="array" ref="N14:P16">MMULT(E14:L16,$B$3:$D$10)</f>
        <v>40.5</v>
      </c>
      <c r="O14" s="75">
        <v>0</v>
      </c>
      <c r="P14" s="76">
        <v>-8.25</v>
      </c>
      <c r="Q14" s="71"/>
      <c r="R14" s="68">
        <f>$F$3*N14</f>
        <v>5.0625</v>
      </c>
      <c r="S14" s="68">
        <f t="shared" ref="S14:T16" si="0">$F$3*O14</f>
        <v>0</v>
      </c>
      <c r="T14" s="68">
        <f t="shared" si="0"/>
        <v>-1.03125</v>
      </c>
      <c r="U14" s="71"/>
      <c r="V14" s="71">
        <f>MDETERM(R14:T16)</f>
        <v>105.8203125</v>
      </c>
      <c r="W14" s="71">
        <f>V14*X14</f>
        <v>846.5625</v>
      </c>
      <c r="X14">
        <v>8</v>
      </c>
    </row>
    <row r="15" spans="1:24" ht="15" thickBot="1" x14ac:dyDescent="0.35">
      <c r="B15" s="2" t="s">
        <v>9</v>
      </c>
      <c r="C15">
        <v>0.5</v>
      </c>
      <c r="E15" s="69">
        <f>-(1-C14)*(1-C16)</f>
        <v>-0.25</v>
      </c>
      <c r="F15" s="77">
        <f>-(1+C14)*(1-C16)</f>
        <v>-0.75</v>
      </c>
      <c r="G15" s="77">
        <f>(1+C14)*(1-C16)</f>
        <v>0.75</v>
      </c>
      <c r="H15" s="77">
        <f>(1-C14)*(1-C16)</f>
        <v>0.25</v>
      </c>
      <c r="I15" s="77">
        <f>-(1-C14)*(1+C16)</f>
        <v>-0.75</v>
      </c>
      <c r="J15" s="77">
        <f>-(1+C14)*(1+C16)</f>
        <v>-2.25</v>
      </c>
      <c r="K15" s="77">
        <f>(1+C14)*(1+C16)</f>
        <v>2.25</v>
      </c>
      <c r="L15" s="78">
        <f>(1-C14)*(1+C16)</f>
        <v>0.75</v>
      </c>
      <c r="M15" s="71"/>
      <c r="N15" s="69">
        <v>-1.5</v>
      </c>
      <c r="O15" s="77">
        <v>40</v>
      </c>
      <c r="P15" s="78">
        <v>-8.25</v>
      </c>
      <c r="Q15" s="71"/>
      <c r="R15" s="68">
        <f>$F$3*N15</f>
        <v>-0.1875</v>
      </c>
      <c r="S15" s="68">
        <f t="shared" si="0"/>
        <v>5</v>
      </c>
      <c r="T15" s="68">
        <f t="shared" si="0"/>
        <v>-1.03125</v>
      </c>
      <c r="U15" s="71"/>
      <c r="V15" s="71"/>
      <c r="W15" s="71"/>
    </row>
    <row r="16" spans="1:24" ht="15" thickBot="1" x14ac:dyDescent="0.35">
      <c r="B16" s="2" t="s">
        <v>10</v>
      </c>
      <c r="C16">
        <v>0.5</v>
      </c>
      <c r="E16" s="70">
        <f>-(1-C14)*(1-C15)</f>
        <v>-0.25</v>
      </c>
      <c r="F16" s="79">
        <f>-(1+C14)*(1-C15)</f>
        <v>-0.75</v>
      </c>
      <c r="G16" s="79">
        <f>-(1+C14)*(1+C15)</f>
        <v>-2.25</v>
      </c>
      <c r="H16" s="79">
        <f>-(1-C14)*(1+C15)</f>
        <v>-0.75</v>
      </c>
      <c r="I16" s="79">
        <f>(1-C14)*(1-C15)</f>
        <v>0.25</v>
      </c>
      <c r="J16" s="79">
        <f>(1+C14)*(1-C15)</f>
        <v>0.75</v>
      </c>
      <c r="K16" s="79">
        <f>(1+C14)*(1+C15)</f>
        <v>2.25</v>
      </c>
      <c r="L16" s="80">
        <f>(1-C14)*(1+C15)</f>
        <v>0.75</v>
      </c>
      <c r="M16" s="71"/>
      <c r="N16" s="70">
        <v>-1.5</v>
      </c>
      <c r="O16" s="79">
        <v>0</v>
      </c>
      <c r="P16" s="80">
        <v>33.75</v>
      </c>
      <c r="Q16" s="71"/>
      <c r="R16" s="68">
        <f>$F$3*N16</f>
        <v>-0.1875</v>
      </c>
      <c r="S16" s="68">
        <f t="shared" si="0"/>
        <v>0</v>
      </c>
      <c r="T16" s="68">
        <f t="shared" si="0"/>
        <v>4.21875</v>
      </c>
      <c r="U16" s="71"/>
      <c r="V16" s="71"/>
      <c r="W16" s="71"/>
    </row>
    <row r="18" spans="1:21" x14ac:dyDescent="0.3">
      <c r="E18" t="s">
        <v>49</v>
      </c>
      <c r="F18" t="s">
        <v>50</v>
      </c>
      <c r="G18" t="s">
        <v>51</v>
      </c>
      <c r="H18" t="s">
        <v>52</v>
      </c>
      <c r="I18" t="s">
        <v>53</v>
      </c>
      <c r="J18" t="s">
        <v>54</v>
      </c>
      <c r="K18" t="s">
        <v>78</v>
      </c>
      <c r="L18" t="s">
        <v>79</v>
      </c>
    </row>
    <row r="19" spans="1:21" x14ac:dyDescent="0.3">
      <c r="E19">
        <f>(1-C14)*(1-C15)*(1-C16)/8</f>
        <v>1.5625E-2</v>
      </c>
      <c r="F19">
        <f>(1+C14)*(1-C15)*(1-C16)/8</f>
        <v>4.6875E-2</v>
      </c>
      <c r="G19">
        <f>(1+C14)*(1+C15)*(1-C16)/8</f>
        <v>0.140625</v>
      </c>
      <c r="H19">
        <f>(1-C14)*(1+C15)*(1-C16)/8</f>
        <v>4.6875E-2</v>
      </c>
      <c r="I19">
        <f>(1-C14)*(1-C15)*(1+C16)/8</f>
        <v>4.6875E-2</v>
      </c>
      <c r="J19">
        <f>(1+C14)*(1-C15)*(1+C16)/8</f>
        <v>0.140625</v>
      </c>
      <c r="K19">
        <f>(1+C14)*(1+C15)*(1+C16)/8</f>
        <v>0.421875</v>
      </c>
      <c r="L19">
        <f>(1-C14)*(1+C15)*(1+C16)/8</f>
        <v>0.140625</v>
      </c>
    </row>
    <row r="22" spans="1:21" x14ac:dyDescent="0.3">
      <c r="A22" t="s">
        <v>132</v>
      </c>
    </row>
    <row r="24" spans="1:21" x14ac:dyDescent="0.3">
      <c r="A24" t="s">
        <v>0</v>
      </c>
      <c r="B24">
        <f t="array" ref="B24">MMULT($E$19:$L$19,B3:B10)</f>
        <v>7.59375</v>
      </c>
    </row>
    <row r="25" spans="1:21" x14ac:dyDescent="0.3">
      <c r="A25" t="s">
        <v>1</v>
      </c>
      <c r="B25">
        <f t="array" ref="B25">MMULT($E$19:$L$19,C3:C10)</f>
        <v>7.5</v>
      </c>
    </row>
    <row r="26" spans="1:21" x14ac:dyDescent="0.3">
      <c r="A26" t="s">
        <v>2</v>
      </c>
      <c r="B26">
        <f>MMULT($E$19:$L$19,D3:D10)</f>
        <v>6.328125</v>
      </c>
    </row>
    <row r="28" spans="1:21" ht="15" thickBot="1" x14ac:dyDescent="0.35">
      <c r="A28" t="s">
        <v>133</v>
      </c>
      <c r="O28" t="s">
        <v>134</v>
      </c>
      <c r="S28" t="s">
        <v>135</v>
      </c>
    </row>
    <row r="29" spans="1:21" ht="15" thickBot="1" x14ac:dyDescent="0.35">
      <c r="A29" s="83">
        <v>0</v>
      </c>
      <c r="C29" s="27">
        <f t="array" ref="C29:E29">TRANSPOSE(A29:A31)</f>
        <v>0</v>
      </c>
      <c r="D29" s="86">
        <v>0</v>
      </c>
      <c r="E29" s="29">
        <v>-1</v>
      </c>
      <c r="G29" s="3">
        <f t="array" ref="G29:I31">MMULT(A29:A31,C29:E29)</f>
        <v>0</v>
      </c>
      <c r="H29" s="4">
        <v>0</v>
      </c>
      <c r="I29" s="5">
        <v>0</v>
      </c>
      <c r="K29" s="3">
        <f>G29*2</f>
        <v>0</v>
      </c>
      <c r="L29" s="4">
        <f t="shared" ref="L29:M31" si="1">H29*2</f>
        <v>0</v>
      </c>
      <c r="M29" s="5">
        <f t="shared" si="1"/>
        <v>0</v>
      </c>
      <c r="O29" s="3">
        <v>1</v>
      </c>
      <c r="P29" s="4"/>
      <c r="Q29" s="5"/>
      <c r="S29" s="7">
        <f>O29-K29</f>
        <v>1</v>
      </c>
      <c r="T29" s="7">
        <f t="shared" ref="T29:U31" si="2">P29-L29</f>
        <v>0</v>
      </c>
      <c r="U29" s="7">
        <f t="shared" si="2"/>
        <v>0</v>
      </c>
    </row>
    <row r="30" spans="1:21" x14ac:dyDescent="0.3">
      <c r="A30" s="84">
        <v>0</v>
      </c>
      <c r="G30" s="6">
        <v>0</v>
      </c>
      <c r="H30" s="7">
        <v>0</v>
      </c>
      <c r="I30" s="8">
        <v>0</v>
      </c>
      <c r="K30" s="6">
        <f>G30*2</f>
        <v>0</v>
      </c>
      <c r="L30" s="7">
        <f t="shared" si="1"/>
        <v>0</v>
      </c>
      <c r="M30" s="8">
        <f t="shared" si="1"/>
        <v>0</v>
      </c>
      <c r="O30" s="6"/>
      <c r="P30" s="7">
        <v>1</v>
      </c>
      <c r="Q30" s="8"/>
      <c r="S30" s="7">
        <f>O30-K30</f>
        <v>0</v>
      </c>
      <c r="T30" s="7">
        <f t="shared" si="2"/>
        <v>1</v>
      </c>
      <c r="U30" s="7">
        <f t="shared" si="2"/>
        <v>0</v>
      </c>
    </row>
    <row r="31" spans="1:21" ht="15" thickBot="1" x14ac:dyDescent="0.35">
      <c r="A31" s="85">
        <v>-1</v>
      </c>
      <c r="G31" s="9">
        <v>0</v>
      </c>
      <c r="H31" s="10">
        <v>0</v>
      </c>
      <c r="I31" s="11">
        <v>1</v>
      </c>
      <c r="K31" s="9">
        <f>G31*2</f>
        <v>0</v>
      </c>
      <c r="L31" s="10">
        <f t="shared" si="1"/>
        <v>0</v>
      </c>
      <c r="M31" s="11">
        <f t="shared" si="1"/>
        <v>2</v>
      </c>
      <c r="O31" s="9"/>
      <c r="P31" s="10"/>
      <c r="Q31" s="11">
        <v>1</v>
      </c>
      <c r="S31" s="7">
        <f>O31-K31</f>
        <v>0</v>
      </c>
      <c r="T31" s="7">
        <f t="shared" si="2"/>
        <v>0</v>
      </c>
      <c r="U31" s="7">
        <f t="shared" si="2"/>
        <v>-1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142"/>
  <sheetViews>
    <sheetView topLeftCell="A17" zoomScaleNormal="100" workbookViewId="0">
      <selection activeCell="A30" sqref="A30:A31"/>
    </sheetView>
  </sheetViews>
  <sheetFormatPr defaultRowHeight="14.4" x14ac:dyDescent="0.3"/>
  <cols>
    <col min="15" max="17" width="9.44140625" bestFit="1" customWidth="1"/>
    <col min="22" max="22" width="12.6640625" bestFit="1" customWidth="1"/>
  </cols>
  <sheetData>
    <row r="2" spans="1:3" x14ac:dyDescent="0.3">
      <c r="A2" t="s">
        <v>39</v>
      </c>
    </row>
    <row r="4" spans="1:3" x14ac:dyDescent="0.3">
      <c r="A4" t="s">
        <v>40</v>
      </c>
    </row>
    <row r="6" spans="1:3" ht="15" thickBot="1" x14ac:dyDescent="0.35">
      <c r="A6" t="s">
        <v>11</v>
      </c>
      <c r="B6" t="s">
        <v>12</v>
      </c>
      <c r="C6" t="s">
        <v>13</v>
      </c>
    </row>
    <row r="7" spans="1:3" ht="15" thickBot="1" x14ac:dyDescent="0.35">
      <c r="A7" s="18">
        <f>'!V пенты через якобиан'!B3</f>
        <v>0</v>
      </c>
      <c r="B7" s="18">
        <f>'!V пенты через якобиан'!C3</f>
        <v>0</v>
      </c>
      <c r="C7" s="18">
        <f>'!V пенты через якобиан'!D3</f>
        <v>0</v>
      </c>
    </row>
    <row r="8" spans="1:3" ht="15" thickBot="1" x14ac:dyDescent="0.35">
      <c r="A8" s="18">
        <f>'!V пенты через якобиан'!B4</f>
        <v>12</v>
      </c>
      <c r="B8" s="18">
        <f>'!V пенты через якобиан'!C4</f>
        <v>0</v>
      </c>
      <c r="C8" s="18">
        <f>'!V пенты через якобиан'!D4</f>
        <v>0</v>
      </c>
    </row>
    <row r="9" spans="1:3" ht="15" thickBot="1" x14ac:dyDescent="0.35">
      <c r="A9" s="18">
        <f>'!V пенты через якобиан'!B5</f>
        <v>0</v>
      </c>
      <c r="B9" s="18">
        <f>'!V пенты через якобиан'!C5</f>
        <v>10</v>
      </c>
      <c r="C9" s="18">
        <f>'!V пенты через якобиан'!D5</f>
        <v>0</v>
      </c>
    </row>
    <row r="10" spans="1:3" ht="15" thickBot="1" x14ac:dyDescent="0.35">
      <c r="A10" s="18">
        <f>'!V пенты через якобиан'!B6</f>
        <v>0</v>
      </c>
      <c r="B10" s="18">
        <f>'!V пенты через якобиан'!C6</f>
        <v>0</v>
      </c>
      <c r="C10" s="18">
        <f>'!V пенты через якобиан'!D6</f>
        <v>12</v>
      </c>
    </row>
    <row r="11" spans="1:3" ht="15" thickBot="1" x14ac:dyDescent="0.35">
      <c r="A11" s="18">
        <f>'!V пенты через якобиан'!B7</f>
        <v>10</v>
      </c>
      <c r="B11" s="18">
        <f>'!V пенты через якобиан'!C7</f>
        <v>0</v>
      </c>
      <c r="C11" s="18">
        <f>'!V пенты через якобиан'!D7</f>
        <v>10</v>
      </c>
    </row>
    <row r="12" spans="1:3" x14ac:dyDescent="0.3">
      <c r="A12" s="18">
        <f>'!V пенты через якобиан'!B8</f>
        <v>0</v>
      </c>
      <c r="B12" s="18">
        <f>'!V пенты через якобиан'!C8</f>
        <v>10</v>
      </c>
      <c r="C12" s="18">
        <f>'!V пенты через якобиан'!D8</f>
        <v>10</v>
      </c>
    </row>
    <row r="24" spans="1:27" x14ac:dyDescent="0.3">
      <c r="A24" s="13"/>
      <c r="B24" s="13"/>
      <c r="C24" s="13"/>
      <c r="D24" s="13" t="s">
        <v>49</v>
      </c>
      <c r="E24" s="13" t="s">
        <v>50</v>
      </c>
      <c r="F24" s="13" t="s">
        <v>51</v>
      </c>
      <c r="G24" s="13" t="s">
        <v>52</v>
      </c>
      <c r="H24" s="13" t="s">
        <v>53</v>
      </c>
      <c r="I24" s="13" t="s">
        <v>54</v>
      </c>
      <c r="J24" s="13"/>
      <c r="K24" s="13"/>
      <c r="L24" s="13"/>
      <c r="M24" s="13"/>
      <c r="N24" s="13"/>
      <c r="O24" s="13"/>
      <c r="P24" s="13"/>
      <c r="Q24" s="13"/>
    </row>
    <row r="25" spans="1:27" ht="15" thickBot="1" x14ac:dyDescent="0.35">
      <c r="A25" t="s">
        <v>33</v>
      </c>
      <c r="B25" t="s">
        <v>28</v>
      </c>
      <c r="D25" t="s">
        <v>48</v>
      </c>
      <c r="J25" s="13"/>
      <c r="K25" t="s">
        <v>41</v>
      </c>
      <c r="O25" t="s">
        <v>42</v>
      </c>
      <c r="P25" s="13"/>
      <c r="S25" t="s">
        <v>43</v>
      </c>
      <c r="U25" t="s">
        <v>44</v>
      </c>
      <c r="V25" t="s">
        <v>14</v>
      </c>
      <c r="W25" s="62">
        <f>2*0.5</f>
        <v>1</v>
      </c>
    </row>
    <row r="26" spans="1:27" x14ac:dyDescent="0.3">
      <c r="A26" s="14" t="s">
        <v>8</v>
      </c>
      <c r="B26" s="13">
        <f>1/3</f>
        <v>0.33333333333333331</v>
      </c>
      <c r="C26" s="13"/>
      <c r="D26" s="34">
        <f>-(1-B28)/2</f>
        <v>-0.5</v>
      </c>
      <c r="E26" s="35">
        <f>(1-B28)/2</f>
        <v>0.5</v>
      </c>
      <c r="F26" s="35">
        <v>0</v>
      </c>
      <c r="G26" s="35">
        <f>-(1+B28)/2</f>
        <v>-0.5</v>
      </c>
      <c r="H26" s="35">
        <f>(1+B28)/2</f>
        <v>0.5</v>
      </c>
      <c r="I26" s="36">
        <v>0</v>
      </c>
      <c r="J26" s="13"/>
      <c r="K26" s="34">
        <f t="array" ref="K26:M28">MMULT(D26:I28,A7:C12)</f>
        <v>11</v>
      </c>
      <c r="L26" s="35">
        <v>0</v>
      </c>
      <c r="M26" s="36">
        <v>-1</v>
      </c>
      <c r="N26" s="13"/>
      <c r="O26" s="71">
        <f t="array" ref="O26:Q28">MINVERSE(K26:M28)</f>
        <v>9.1428571428571428E-2</v>
      </c>
      <c r="P26" s="71">
        <v>0</v>
      </c>
      <c r="Q26" s="71">
        <v>1.714285714285714E-2</v>
      </c>
      <c r="S26" s="61">
        <f>K26*L27*M28+L26*M27*K28+K27*L28*M26-M26*L27*K28-L28*M27*K26-K27*L26*M28</f>
        <v>583.33333333333337</v>
      </c>
      <c r="U26">
        <f>MDETERM(K26:M28)</f>
        <v>583.33333333333337</v>
      </c>
      <c r="W26">
        <f>U26*W25</f>
        <v>583.33333333333337</v>
      </c>
    </row>
    <row r="27" spans="1:27" x14ac:dyDescent="0.3">
      <c r="A27" s="14" t="s">
        <v>9</v>
      </c>
      <c r="B27" s="13">
        <f>1/3</f>
        <v>0.33333333333333331</v>
      </c>
      <c r="C27" s="13"/>
      <c r="D27" s="37">
        <f>-(1-B28)/2</f>
        <v>-0.5</v>
      </c>
      <c r="E27" s="38">
        <v>0</v>
      </c>
      <c r="F27" s="38">
        <f>(1-B28)/2</f>
        <v>0.5</v>
      </c>
      <c r="G27" s="38">
        <f>-(1+B28)/2</f>
        <v>-0.5</v>
      </c>
      <c r="H27" s="38">
        <v>0</v>
      </c>
      <c r="I27" s="39">
        <f>(1+B28)/2</f>
        <v>0.5</v>
      </c>
      <c r="J27" s="13"/>
      <c r="K27" s="37">
        <v>0</v>
      </c>
      <c r="L27" s="38">
        <v>10</v>
      </c>
      <c r="M27" s="39">
        <v>-1</v>
      </c>
      <c r="N27" s="13"/>
      <c r="O27" s="71">
        <v>5.7142857142857158E-4</v>
      </c>
      <c r="P27" s="71">
        <v>0.1</v>
      </c>
      <c r="Q27" s="71">
        <v>1.8857142857142857E-2</v>
      </c>
    </row>
    <row r="28" spans="1:27" ht="15" thickBot="1" x14ac:dyDescent="0.35">
      <c r="A28" s="14" t="s">
        <v>10</v>
      </c>
      <c r="B28" s="13">
        <v>0</v>
      </c>
      <c r="C28" s="13"/>
      <c r="D28" s="40">
        <f>-0.5*(1-B26-B27)</f>
        <v>-0.16666666666666671</v>
      </c>
      <c r="E28" s="41">
        <f>-0.5*B26</f>
        <v>-0.16666666666666666</v>
      </c>
      <c r="F28" s="41">
        <f>-0.5*B27</f>
        <v>-0.16666666666666666</v>
      </c>
      <c r="G28" s="41">
        <f>0.5*(1-B26-B27)</f>
        <v>0.16666666666666671</v>
      </c>
      <c r="H28" s="41">
        <f>0.5*B26</f>
        <v>0.16666666666666666</v>
      </c>
      <c r="I28" s="42">
        <f>0.5*B27</f>
        <v>0.16666666666666666</v>
      </c>
      <c r="J28" s="13"/>
      <c r="K28" s="40">
        <v>-0.33333333333333348</v>
      </c>
      <c r="L28" s="41">
        <v>0</v>
      </c>
      <c r="M28" s="42">
        <v>5.3333333333333339</v>
      </c>
      <c r="N28" s="13"/>
      <c r="O28" s="71">
        <v>5.714285714285716E-3</v>
      </c>
      <c r="P28" s="71">
        <v>0</v>
      </c>
      <c r="Q28" s="71">
        <v>0.18857142857142856</v>
      </c>
    </row>
    <row r="29" spans="1:27" ht="15" thickBot="1" x14ac:dyDescent="0.35">
      <c r="D29" t="s">
        <v>63</v>
      </c>
      <c r="K29" t="s">
        <v>64</v>
      </c>
      <c r="O29" t="s">
        <v>65</v>
      </c>
      <c r="V29" t="s">
        <v>67</v>
      </c>
    </row>
    <row r="30" spans="1:27" x14ac:dyDescent="0.3">
      <c r="A30" s="13" t="s">
        <v>45</v>
      </c>
      <c r="D30" s="3">
        <f t="array" ref="D30:D32">MMULT($O$26:$Q$28,D26:D28)</f>
        <v>-4.8571428571428571E-2</v>
      </c>
      <c r="E30" s="4">
        <f t="array" ref="E30:E32">MMULT($O$26:$Q$28,E26:E28)</f>
        <v>4.2857142857142858E-2</v>
      </c>
      <c r="F30" s="4">
        <f t="array" ref="F30:F32">MMULT($O$26:$Q$28,F26:F28)</f>
        <v>-2.8571428571428567E-3</v>
      </c>
      <c r="G30" s="4">
        <f t="array" ref="G30:G32">MMULT($O$26:$Q$28,G26:G28)</f>
        <v>-4.2857142857142858E-2</v>
      </c>
      <c r="H30" s="4">
        <f t="array" ref="H30:H32">MMULT($O$26:$Q$28,H26:H28)</f>
        <v>4.8571428571428571E-2</v>
      </c>
      <c r="I30" s="5">
        <f t="array" ref="I30:I32">MMULT($O$26:$Q$28,I26:I28)</f>
        <v>2.8571428571428567E-3</v>
      </c>
      <c r="K30" s="3">
        <f t="array" ref="K30:M35">TRANSPOSE(D30:I32)</f>
        <v>-4.8571428571428571E-2</v>
      </c>
      <c r="L30" s="4">
        <v>-5.3428571428571429E-2</v>
      </c>
      <c r="M30" s="5">
        <v>-3.4285714285714294E-2</v>
      </c>
      <c r="O30" s="3">
        <f t="array" ref="O30:T35">MMULT(K30:M35,D30:I32)</f>
        <v>6.3893061224489806E-3</v>
      </c>
      <c r="P30" s="4">
        <v>-9.4938775510204046E-4</v>
      </c>
      <c r="Q30" s="4">
        <v>-1.2871836734693878E-3</v>
      </c>
      <c r="R30" s="4">
        <v>3.6208163265306114E-3</v>
      </c>
      <c r="S30" s="4">
        <v>-3.7178775510204086E-3</v>
      </c>
      <c r="T30" s="5">
        <v>-4.0556734693877553E-3</v>
      </c>
      <c r="V30" s="52">
        <f t="shared" ref="V30:V35" si="0">O30*$W$26</f>
        <v>3.7270952380952389</v>
      </c>
      <c r="W30" s="4">
        <f t="shared" ref="W30:AA35" si="1">P30*$W$26</f>
        <v>-0.55380952380952364</v>
      </c>
      <c r="X30" s="4">
        <f t="shared" si="1"/>
        <v>-0.75085714285714289</v>
      </c>
      <c r="Y30" s="4">
        <f t="shared" si="1"/>
        <v>2.1121428571428567</v>
      </c>
      <c r="Z30" s="4">
        <f t="shared" si="1"/>
        <v>-2.1687619047619053</v>
      </c>
      <c r="AA30" s="5">
        <f t="shared" si="1"/>
        <v>-2.3658095238095243</v>
      </c>
    </row>
    <row r="31" spans="1:27" x14ac:dyDescent="0.3">
      <c r="A31" s="13" t="s">
        <v>46</v>
      </c>
      <c r="D31" s="6">
        <v>-5.3428571428571429E-2</v>
      </c>
      <c r="E31" s="7">
        <v>-2.8571428571428567E-3</v>
      </c>
      <c r="F31" s="7">
        <v>4.6857142857142861E-2</v>
      </c>
      <c r="G31" s="7">
        <v>-4.7142857142857146E-2</v>
      </c>
      <c r="H31" s="7">
        <v>3.4285714285714284E-3</v>
      </c>
      <c r="I31" s="8">
        <v>5.3142857142857144E-2</v>
      </c>
      <c r="K31" s="6">
        <v>4.2857142857142858E-2</v>
      </c>
      <c r="L31" s="7">
        <v>-2.8571428571428567E-3</v>
      </c>
      <c r="M31" s="8">
        <v>-2.8571428571428567E-2</v>
      </c>
      <c r="O31" s="6">
        <v>-9.4938775510204046E-4</v>
      </c>
      <c r="P31" s="7">
        <v>2.661224489795918E-3</v>
      </c>
      <c r="Q31" s="7">
        <v>6.4163265306122429E-4</v>
      </c>
      <c r="R31" s="7">
        <v>-2.518367346938776E-3</v>
      </c>
      <c r="S31" s="7">
        <v>1.0922448979591838E-3</v>
      </c>
      <c r="T31" s="8">
        <v>-9.2734693877550992E-4</v>
      </c>
      <c r="V31" s="6">
        <f t="shared" si="0"/>
        <v>-0.55380952380952364</v>
      </c>
      <c r="W31" s="7">
        <f t="shared" si="1"/>
        <v>1.5523809523809522</v>
      </c>
      <c r="X31" s="7">
        <f t="shared" si="1"/>
        <v>0.37428571428571422</v>
      </c>
      <c r="Y31" s="7">
        <f t="shared" si="1"/>
        <v>-1.4690476190476194</v>
      </c>
      <c r="Z31" s="7">
        <f t="shared" si="1"/>
        <v>0.63714285714285723</v>
      </c>
      <c r="AA31" s="8">
        <f t="shared" si="1"/>
        <v>-0.54095238095238085</v>
      </c>
    </row>
    <row r="32" spans="1:27" ht="15" thickBot="1" x14ac:dyDescent="0.35">
      <c r="A32" s="13" t="s">
        <v>47</v>
      </c>
      <c r="D32" s="9">
        <v>-3.4285714285714294E-2</v>
      </c>
      <c r="E32" s="10">
        <v>-2.8571428571428567E-2</v>
      </c>
      <c r="F32" s="10">
        <v>-3.1428571428571424E-2</v>
      </c>
      <c r="G32" s="10">
        <v>2.8571428571428581E-2</v>
      </c>
      <c r="H32" s="10">
        <v>3.428571428571428E-2</v>
      </c>
      <c r="I32" s="11">
        <v>3.1428571428571424E-2</v>
      </c>
      <c r="K32" s="6">
        <v>-2.8571428571428567E-3</v>
      </c>
      <c r="L32" s="7">
        <v>4.6857142857142861E-2</v>
      </c>
      <c r="M32" s="8">
        <v>-3.1428571428571424E-2</v>
      </c>
      <c r="O32" s="6">
        <v>-1.2871836734693878E-3</v>
      </c>
      <c r="P32" s="7">
        <v>6.4163265306122429E-4</v>
      </c>
      <c r="Q32" s="7">
        <v>3.1915102040816325E-3</v>
      </c>
      <c r="R32" s="7">
        <v>-2.984489795918368E-3</v>
      </c>
      <c r="S32" s="7">
        <v>-1.0556734693877548E-3</v>
      </c>
      <c r="T32" s="8">
        <v>1.4942040816326538E-3</v>
      </c>
      <c r="V32" s="6">
        <f t="shared" si="0"/>
        <v>-0.75085714285714289</v>
      </c>
      <c r="W32" s="7">
        <f t="shared" si="1"/>
        <v>0.37428571428571422</v>
      </c>
      <c r="X32" s="7">
        <f t="shared" si="1"/>
        <v>1.8617142857142857</v>
      </c>
      <c r="Y32" s="7">
        <f t="shared" si="1"/>
        <v>-1.7409523809523815</v>
      </c>
      <c r="Z32" s="7">
        <f t="shared" si="1"/>
        <v>-0.6158095238095237</v>
      </c>
      <c r="AA32" s="8">
        <f t="shared" si="1"/>
        <v>0.87161904761904807</v>
      </c>
    </row>
    <row r="33" spans="2:27" x14ac:dyDescent="0.3">
      <c r="K33" s="6">
        <v>-4.2857142857142858E-2</v>
      </c>
      <c r="L33" s="7">
        <v>-4.7142857142857146E-2</v>
      </c>
      <c r="M33" s="8">
        <v>2.8571428571428581E-2</v>
      </c>
      <c r="O33" s="6">
        <v>3.6208163265306114E-3</v>
      </c>
      <c r="P33" s="7">
        <v>-2.518367346938776E-3</v>
      </c>
      <c r="Q33" s="7">
        <v>-2.984489795918368E-3</v>
      </c>
      <c r="R33" s="7">
        <v>4.8755102040816331E-3</v>
      </c>
      <c r="S33" s="7">
        <v>-1.2636734693877549E-3</v>
      </c>
      <c r="T33" s="8">
        <v>-1.7297959183673471E-3</v>
      </c>
      <c r="V33" s="6">
        <f t="shared" si="0"/>
        <v>2.1121428571428567</v>
      </c>
      <c r="W33" s="7">
        <f t="shared" si="1"/>
        <v>-1.4690476190476194</v>
      </c>
      <c r="X33" s="7">
        <f t="shared" si="1"/>
        <v>-1.7409523809523815</v>
      </c>
      <c r="Y33" s="7">
        <f t="shared" si="1"/>
        <v>2.8440476190476196</v>
      </c>
      <c r="Z33" s="7">
        <f t="shared" si="1"/>
        <v>-0.7371428571428571</v>
      </c>
      <c r="AA33" s="8">
        <f t="shared" si="1"/>
        <v>-1.0090476190476192</v>
      </c>
    </row>
    <row r="34" spans="2:27" x14ac:dyDescent="0.3">
      <c r="K34" s="6">
        <v>4.8571428571428571E-2</v>
      </c>
      <c r="L34" s="7">
        <v>3.4285714285714284E-3</v>
      </c>
      <c r="M34" s="8">
        <v>3.428571428571428E-2</v>
      </c>
      <c r="O34" s="6">
        <v>-3.7178775510204086E-3</v>
      </c>
      <c r="P34" s="7">
        <v>1.0922448979591838E-3</v>
      </c>
      <c r="Q34" s="7">
        <v>-1.0556734693877548E-3</v>
      </c>
      <c r="R34" s="7">
        <v>-1.2636734693877549E-3</v>
      </c>
      <c r="S34" s="7">
        <v>3.5464489795918363E-3</v>
      </c>
      <c r="T34" s="8">
        <v>1.3985306122448976E-3</v>
      </c>
      <c r="V34" s="6">
        <f t="shared" si="0"/>
        <v>-2.1687619047619053</v>
      </c>
      <c r="W34" s="7">
        <f t="shared" si="1"/>
        <v>0.63714285714285723</v>
      </c>
      <c r="X34" s="7">
        <f t="shared" si="1"/>
        <v>-0.6158095238095237</v>
      </c>
      <c r="Y34" s="7">
        <f t="shared" si="1"/>
        <v>-0.7371428571428571</v>
      </c>
      <c r="Z34" s="7">
        <f t="shared" si="1"/>
        <v>2.0687619047619048</v>
      </c>
      <c r="AA34" s="8">
        <f t="shared" si="1"/>
        <v>0.81580952380952365</v>
      </c>
    </row>
    <row r="35" spans="2:27" ht="15" thickBot="1" x14ac:dyDescent="0.35">
      <c r="K35" s="9">
        <v>2.8571428571428567E-3</v>
      </c>
      <c r="L35" s="10">
        <v>5.3142857142857144E-2</v>
      </c>
      <c r="M35" s="11">
        <v>3.1428571428571424E-2</v>
      </c>
      <c r="O35" s="9">
        <v>-4.0556734693877553E-3</v>
      </c>
      <c r="P35" s="10">
        <v>-9.2734693877550992E-4</v>
      </c>
      <c r="Q35" s="10">
        <v>1.4942040816326538E-3</v>
      </c>
      <c r="R35" s="10">
        <v>-1.7297959183673471E-3</v>
      </c>
      <c r="S35" s="10">
        <v>1.3985306122448976E-3</v>
      </c>
      <c r="T35" s="11">
        <v>3.8200816326530614E-3</v>
      </c>
      <c r="V35" s="9">
        <f t="shared" si="0"/>
        <v>-2.3658095238095243</v>
      </c>
      <c r="W35" s="10">
        <f t="shared" si="1"/>
        <v>-0.54095238095238085</v>
      </c>
      <c r="X35" s="10">
        <f t="shared" si="1"/>
        <v>0.87161904761904807</v>
      </c>
      <c r="Y35" s="10">
        <f t="shared" si="1"/>
        <v>-1.0090476190476192</v>
      </c>
      <c r="Z35" s="10">
        <f t="shared" si="1"/>
        <v>0.81580952380952365</v>
      </c>
      <c r="AA35" s="11">
        <f t="shared" si="1"/>
        <v>2.2283809523809528</v>
      </c>
    </row>
    <row r="36" spans="2:27" x14ac:dyDescent="0.3">
      <c r="K36" s="7"/>
      <c r="L36" s="7"/>
      <c r="M36" s="7"/>
      <c r="O36" s="7"/>
      <c r="P36" s="7"/>
      <c r="Q36" s="7"/>
      <c r="R36" s="7"/>
      <c r="S36" s="7"/>
      <c r="T36" s="7"/>
      <c r="V36" s="7"/>
      <c r="W36" s="7"/>
      <c r="X36" s="7"/>
      <c r="Y36" s="7"/>
      <c r="Z36" s="7"/>
      <c r="AA36" s="7"/>
    </row>
    <row r="37" spans="2:27" x14ac:dyDescent="0.3">
      <c r="K37" s="7"/>
      <c r="L37" s="7"/>
      <c r="M37" s="7"/>
      <c r="O37" s="7"/>
      <c r="P37" s="7"/>
      <c r="Q37" s="7"/>
      <c r="R37" s="7"/>
      <c r="S37" s="7"/>
      <c r="T37" s="7"/>
      <c r="V37" s="7" t="s">
        <v>120</v>
      </c>
      <c r="W37" s="7"/>
      <c r="X37" s="7"/>
      <c r="Y37" s="7"/>
      <c r="Z37" s="7"/>
      <c r="AA37" s="7"/>
    </row>
    <row r="38" spans="2:27" x14ac:dyDescent="0.3">
      <c r="K38" s="7"/>
      <c r="L38" s="7"/>
      <c r="M38" s="7"/>
      <c r="O38" s="7"/>
      <c r="P38" s="7"/>
      <c r="Q38" s="7"/>
      <c r="R38" s="7"/>
      <c r="S38" s="7"/>
      <c r="T38" s="7"/>
      <c r="V38" s="7"/>
      <c r="W38" s="7"/>
      <c r="X38" s="7"/>
      <c r="Y38" s="7"/>
      <c r="Z38" s="7"/>
      <c r="AA38" s="7"/>
    </row>
    <row r="39" spans="2:27" x14ac:dyDescent="0.3">
      <c r="K39" s="7"/>
      <c r="L39" s="7"/>
      <c r="M39" s="7"/>
      <c r="O39" s="7"/>
      <c r="P39" s="7"/>
      <c r="Q39" s="7"/>
      <c r="R39" s="7"/>
      <c r="S39" s="7"/>
      <c r="T39" s="7"/>
      <c r="V39" s="7"/>
      <c r="W39" s="7"/>
      <c r="X39" s="7"/>
      <c r="Y39" s="7"/>
      <c r="Z39" s="7"/>
      <c r="AA39" s="7"/>
    </row>
    <row r="40" spans="2:27" x14ac:dyDescent="0.3">
      <c r="K40" s="7"/>
      <c r="L40" s="7"/>
      <c r="M40" s="7"/>
      <c r="O40" s="7"/>
      <c r="P40" s="7"/>
      <c r="Q40" s="7"/>
      <c r="R40" s="7"/>
      <c r="S40" s="7"/>
      <c r="T40" s="7"/>
      <c r="V40" s="7"/>
      <c r="W40" s="7"/>
      <c r="X40" s="7"/>
      <c r="Y40" s="7"/>
      <c r="Z40" s="7"/>
      <c r="AA40" s="7"/>
    </row>
    <row r="41" spans="2:27" x14ac:dyDescent="0.3">
      <c r="K41" s="7"/>
      <c r="L41" s="7"/>
      <c r="M41" s="7"/>
      <c r="O41" s="7"/>
      <c r="P41" s="7"/>
      <c r="Q41" s="7"/>
      <c r="R41" s="7"/>
      <c r="S41" s="7"/>
      <c r="T41" s="7"/>
      <c r="V41" s="7"/>
      <c r="W41" s="7"/>
      <c r="X41" s="7"/>
      <c r="Y41" s="7"/>
      <c r="Z41" s="7"/>
      <c r="AA41" s="7"/>
    </row>
    <row r="42" spans="2:27" x14ac:dyDescent="0.3">
      <c r="K42" s="7"/>
      <c r="L42" s="7"/>
      <c r="M42" s="7"/>
      <c r="O42" s="7"/>
      <c r="P42" s="7"/>
      <c r="Q42" s="7"/>
      <c r="R42" s="7"/>
      <c r="S42" s="7"/>
      <c r="T42" s="7"/>
      <c r="V42" s="7"/>
      <c r="W42" s="7"/>
      <c r="X42" s="7"/>
      <c r="Y42" s="7"/>
      <c r="Z42" s="7"/>
      <c r="AA42" s="7"/>
    </row>
    <row r="43" spans="2:27" x14ac:dyDescent="0.3">
      <c r="K43" s="7"/>
      <c r="L43" s="7"/>
      <c r="M43" s="7"/>
      <c r="O43" s="7"/>
      <c r="P43" s="7"/>
      <c r="Q43" s="7"/>
      <c r="R43" s="7"/>
      <c r="S43" s="7"/>
      <c r="T43" s="7"/>
      <c r="V43" s="7"/>
      <c r="W43" s="7"/>
      <c r="X43" s="7"/>
      <c r="Y43" s="7"/>
      <c r="Z43" s="7"/>
      <c r="AA43" s="7"/>
    </row>
    <row r="44" spans="2:27" x14ac:dyDescent="0.3">
      <c r="K44" s="7"/>
      <c r="L44" s="7"/>
      <c r="M44" s="7"/>
      <c r="O44" s="7"/>
      <c r="P44" s="7"/>
      <c r="Q44" s="7"/>
      <c r="R44" s="7"/>
      <c r="S44" s="7"/>
      <c r="T44" s="7"/>
      <c r="V44" s="7"/>
      <c r="W44" s="7"/>
      <c r="X44" s="7"/>
      <c r="Y44" s="7"/>
      <c r="Z44" s="7"/>
      <c r="AA44" s="7"/>
    </row>
    <row r="48" spans="2:27" ht="15" thickBot="1" x14ac:dyDescent="0.35">
      <c r="B48" t="s">
        <v>57</v>
      </c>
      <c r="F48" t="s">
        <v>58</v>
      </c>
      <c r="J48" t="s">
        <v>59</v>
      </c>
      <c r="N48" t="s">
        <v>42</v>
      </c>
    </row>
    <row r="49" spans="1:27" x14ac:dyDescent="0.3">
      <c r="B49" s="3">
        <f>L27*M28-M27*L28</f>
        <v>53.333333333333343</v>
      </c>
      <c r="C49" s="4">
        <f>K27*M28-M27*K28</f>
        <v>-0.33333333333333348</v>
      </c>
      <c r="D49" s="5">
        <f>K27*L28-L27*K28</f>
        <v>3.3333333333333348</v>
      </c>
      <c r="F49" s="3">
        <f>B49</f>
        <v>53.333333333333343</v>
      </c>
      <c r="G49" s="4">
        <f>-C49</f>
        <v>0.33333333333333348</v>
      </c>
      <c r="H49" s="5">
        <f t="shared" ref="G49:H51" si="2">D49</f>
        <v>3.3333333333333348</v>
      </c>
      <c r="J49" s="3">
        <f t="array" ref="J49:L51">TRANSPOSE(F49:H51)</f>
        <v>53.333333333333343</v>
      </c>
      <c r="K49" s="4">
        <v>0</v>
      </c>
      <c r="L49" s="5">
        <v>10</v>
      </c>
      <c r="N49" s="52">
        <f>J49/$U$26</f>
        <v>9.1428571428571442E-2</v>
      </c>
      <c r="O49" s="53">
        <f t="shared" ref="O49:P51" si="3">K49/$U$26</f>
        <v>0</v>
      </c>
      <c r="P49" s="54">
        <f t="shared" si="3"/>
        <v>1.714285714285714E-2</v>
      </c>
    </row>
    <row r="50" spans="1:27" x14ac:dyDescent="0.3">
      <c r="B50" s="6">
        <f>L26*M28-M26*L28</f>
        <v>0</v>
      </c>
      <c r="C50" s="7">
        <f>K26*M28-M26*K28</f>
        <v>58.333333333333336</v>
      </c>
      <c r="D50" s="8">
        <f>K26*L28-L26*K28</f>
        <v>0</v>
      </c>
      <c r="F50" s="6">
        <f>-B50</f>
        <v>0</v>
      </c>
      <c r="G50" s="7">
        <f t="shared" si="2"/>
        <v>58.333333333333336</v>
      </c>
      <c r="H50" s="8">
        <f>-D50</f>
        <v>0</v>
      </c>
      <c r="J50" s="6">
        <v>0.33333333333333348</v>
      </c>
      <c r="K50" s="7">
        <v>58.333333333333336</v>
      </c>
      <c r="L50" s="8">
        <v>11</v>
      </c>
      <c r="N50" s="55">
        <f>J50/$U$26</f>
        <v>5.7142857142857169E-4</v>
      </c>
      <c r="O50" s="56">
        <f t="shared" si="3"/>
        <v>9.9999999999999992E-2</v>
      </c>
      <c r="P50" s="57">
        <f t="shared" si="3"/>
        <v>1.8857142857142857E-2</v>
      </c>
    </row>
    <row r="51" spans="1:27" ht="15" thickBot="1" x14ac:dyDescent="0.35">
      <c r="B51" s="9">
        <f>L26*M27-M26*L27</f>
        <v>10</v>
      </c>
      <c r="C51" s="10">
        <f>K26*M27-M26*K27</f>
        <v>-11</v>
      </c>
      <c r="D51" s="11">
        <f>K26*L27-L26*K27</f>
        <v>110</v>
      </c>
      <c r="F51" s="9">
        <f>B51</f>
        <v>10</v>
      </c>
      <c r="G51" s="10">
        <f>-C51</f>
        <v>11</v>
      </c>
      <c r="H51" s="11">
        <f t="shared" si="2"/>
        <v>110</v>
      </c>
      <c r="J51" s="9">
        <v>3.3333333333333348</v>
      </c>
      <c r="K51" s="10">
        <v>0</v>
      </c>
      <c r="L51" s="11">
        <v>110</v>
      </c>
      <c r="N51" s="58">
        <f>J51/$U$26</f>
        <v>5.7142857142857169E-3</v>
      </c>
      <c r="O51" s="59">
        <f t="shared" si="3"/>
        <v>0</v>
      </c>
      <c r="P51" s="60">
        <f t="shared" si="3"/>
        <v>0.18857142857142856</v>
      </c>
    </row>
    <row r="54" spans="1:27" x14ac:dyDescent="0.3">
      <c r="A54" t="s">
        <v>60</v>
      </c>
    </row>
    <row r="56" spans="1:27" x14ac:dyDescent="0.3">
      <c r="A56" s="13"/>
      <c r="B56" s="13"/>
      <c r="C56" s="13"/>
      <c r="D56" s="13" t="s">
        <v>49</v>
      </c>
      <c r="E56" s="13" t="s">
        <v>50</v>
      </c>
      <c r="F56" s="13" t="s">
        <v>51</v>
      </c>
      <c r="G56" s="13" t="s">
        <v>52</v>
      </c>
      <c r="H56" s="13" t="s">
        <v>53</v>
      </c>
      <c r="I56" s="13" t="s">
        <v>54</v>
      </c>
      <c r="J56" s="13"/>
      <c r="K56" s="13"/>
      <c r="L56" s="13"/>
      <c r="M56" s="13"/>
      <c r="N56" s="13"/>
      <c r="O56" s="13"/>
      <c r="P56" s="13"/>
      <c r="Q56" s="13"/>
    </row>
    <row r="57" spans="1:27" ht="15" thickBot="1" x14ac:dyDescent="0.35">
      <c r="A57" t="s">
        <v>33</v>
      </c>
      <c r="B57" t="s">
        <v>28</v>
      </c>
      <c r="D57" t="s">
        <v>48</v>
      </c>
      <c r="J57" s="13"/>
      <c r="K57" t="s">
        <v>41</v>
      </c>
      <c r="O57" t="s">
        <v>42</v>
      </c>
      <c r="P57" s="13"/>
      <c r="S57" t="s">
        <v>43</v>
      </c>
      <c r="U57" t="s">
        <v>44</v>
      </c>
      <c r="V57" t="s">
        <v>14</v>
      </c>
      <c r="W57">
        <f>0.5*1</f>
        <v>0.5</v>
      </c>
    </row>
    <row r="58" spans="1:27" x14ac:dyDescent="0.3">
      <c r="A58" s="14" t="s">
        <v>8</v>
      </c>
      <c r="B58" s="13">
        <f>1/3</f>
        <v>0.33333333333333331</v>
      </c>
      <c r="C58" s="13"/>
      <c r="D58" s="34">
        <f>-(1-B60)/2</f>
        <v>-0.21129999999999999</v>
      </c>
      <c r="E58" s="35">
        <f>(1-B60)/2</f>
        <v>0.21129999999999999</v>
      </c>
      <c r="F58" s="35">
        <v>0</v>
      </c>
      <c r="G58" s="35">
        <f>-(1+B60)/2</f>
        <v>-0.78869999999999996</v>
      </c>
      <c r="H58" s="35">
        <f>(1+B60)/2</f>
        <v>0.78869999999999996</v>
      </c>
      <c r="I58" s="36">
        <v>0</v>
      </c>
      <c r="J58" s="13"/>
      <c r="K58" s="34">
        <f t="array" ref="K58:M60">MMULT(D58:I60,A7:C12)</f>
        <v>10.422599999999999</v>
      </c>
      <c r="L58" s="35">
        <v>0</v>
      </c>
      <c r="M58" s="36">
        <v>-1.5773999999999999</v>
      </c>
      <c r="N58" s="13"/>
      <c r="O58" s="13">
        <f t="array" ref="O58:Q60">MINVERSE(K58:M60)</f>
        <v>9.6861564241616335E-2</v>
      </c>
      <c r="P58" s="13">
        <v>0</v>
      </c>
      <c r="Q58" s="13">
        <v>2.8648018394011047E-2</v>
      </c>
      <c r="S58" s="61">
        <f>K58*L59*M60+L58*M59*K60+K59*L60*M58-M58*L59*K60-L60*M59*K58-K59*L58*M60</f>
        <v>550.61400000000003</v>
      </c>
      <c r="U58">
        <f>MDETERM(K58:M60)</f>
        <v>550.61400000000003</v>
      </c>
      <c r="W58">
        <f>W57*U58</f>
        <v>275.30700000000002</v>
      </c>
    </row>
    <row r="59" spans="1:27" x14ac:dyDescent="0.3">
      <c r="A59" s="14" t="s">
        <v>9</v>
      </c>
      <c r="B59" s="13">
        <f>1/3</f>
        <v>0.33333333333333331</v>
      </c>
      <c r="C59" s="13"/>
      <c r="D59" s="37">
        <f>-(1-B60)/2</f>
        <v>-0.21129999999999999</v>
      </c>
      <c r="E59" s="38">
        <v>0</v>
      </c>
      <c r="F59" s="38">
        <f>(1-B60)/2</f>
        <v>0.21129999999999999</v>
      </c>
      <c r="G59" s="38">
        <f>-(1+B60)/2</f>
        <v>-0.78869999999999996</v>
      </c>
      <c r="H59" s="38">
        <v>0</v>
      </c>
      <c r="I59" s="39">
        <f>(1+B60)/2</f>
        <v>0.78869999999999996</v>
      </c>
      <c r="J59" s="13"/>
      <c r="K59" s="37">
        <v>0</v>
      </c>
      <c r="L59" s="38">
        <v>10</v>
      </c>
      <c r="M59" s="39">
        <v>-1.5773999999999999</v>
      </c>
      <c r="N59" s="13"/>
      <c r="O59" s="13">
        <v>9.549339464670351E-4</v>
      </c>
      <c r="P59" s="13">
        <v>0.1</v>
      </c>
      <c r="Q59" s="13">
        <v>2.985868365134195E-2</v>
      </c>
    </row>
    <row r="60" spans="1:27" ht="15" thickBot="1" x14ac:dyDescent="0.35">
      <c r="A60" s="14" t="s">
        <v>10</v>
      </c>
      <c r="B60" s="13">
        <v>0.57740000000000002</v>
      </c>
      <c r="C60" s="13"/>
      <c r="D60" s="40">
        <f>-0.5*(1-B58-B59)</f>
        <v>-0.16666666666666671</v>
      </c>
      <c r="E60" s="41">
        <f>-0.5*B58</f>
        <v>-0.16666666666666666</v>
      </c>
      <c r="F60" s="41">
        <f>-0.5*B59</f>
        <v>-0.16666666666666666</v>
      </c>
      <c r="G60" s="41">
        <f>0.5*(1-B58-B59)</f>
        <v>0.16666666666666671</v>
      </c>
      <c r="H60" s="41">
        <f>0.5*B58</f>
        <v>0.16666666666666666</v>
      </c>
      <c r="I60" s="42">
        <f>0.5*B59</f>
        <v>0.16666666666666666</v>
      </c>
      <c r="J60" s="13"/>
      <c r="K60" s="40">
        <v>-0.33333333333333348</v>
      </c>
      <c r="L60" s="41">
        <v>0</v>
      </c>
      <c r="M60" s="42">
        <v>5.3333333333333339</v>
      </c>
      <c r="N60" s="13"/>
      <c r="O60" s="13">
        <v>6.0538477651010218E-3</v>
      </c>
      <c r="P60" s="13">
        <v>0</v>
      </c>
      <c r="Q60" s="13">
        <v>0.18929050114962567</v>
      </c>
    </row>
    <row r="61" spans="1:27" ht="15" thickBot="1" x14ac:dyDescent="0.35">
      <c r="D61" t="s">
        <v>63</v>
      </c>
      <c r="K61" t="s">
        <v>64</v>
      </c>
      <c r="O61" t="s">
        <v>65</v>
      </c>
      <c r="V61" t="s">
        <v>126</v>
      </c>
    </row>
    <row r="62" spans="1:27" x14ac:dyDescent="0.3">
      <c r="A62" s="13" t="s">
        <v>45</v>
      </c>
      <c r="D62" s="3">
        <f t="array" ref="D62:D64">MMULT($O$58:$Q$60,D58:D60)</f>
        <v>-2.5241518256588706E-2</v>
      </c>
      <c r="E62" s="4">
        <f t="array" ref="E62:E64">MMULT($O$58:$Q$60,E58:E60)</f>
        <v>1.5692178791918355E-2</v>
      </c>
      <c r="F62" s="4">
        <f t="array" ref="F62:F64">MMULT($O$58:$Q$60,F58:F60)</f>
        <v>-4.7746697323351739E-3</v>
      </c>
      <c r="G62" s="4">
        <f t="array" ref="G62:G64">MMULT($O$58:$Q$60,G58:G60)</f>
        <v>-7.1620045985027622E-2</v>
      </c>
      <c r="H62" s="4">
        <f t="array" ref="H62:H64">MMULT($O$58:$Q$60,H58:H60)</f>
        <v>8.116938544969797E-2</v>
      </c>
      <c r="I62" s="5">
        <f t="array" ref="I62:I64">MMULT($O$58:$Q$60,I58:I60)</f>
        <v>4.7746697323351739E-3</v>
      </c>
      <c r="K62" s="3">
        <f t="array" ref="K62:M67">TRANSPOSE(D62:I64)</f>
        <v>-2.5241518256588706E-2</v>
      </c>
      <c r="L62" s="4">
        <v>-2.6308224818112146E-2</v>
      </c>
      <c r="M62" s="5">
        <v>-3.2827594891036802E-2</v>
      </c>
      <c r="O62" s="3">
        <f t="array" ref="O62:T67">MMULT(K62:M67,D62:I64)</f>
        <v>2.4069079233080583E-3</v>
      </c>
      <c r="P62" s="4">
        <v>7.231849771123719E-4</v>
      </c>
      <c r="Q62" s="4">
        <v>7.3120726460015038E-4</v>
      </c>
      <c r="R62" s="4">
        <v>2.8927033795845014E-3</v>
      </c>
      <c r="S62" s="4">
        <v>-3.3919737981937164E-3</v>
      </c>
      <c r="T62" s="5">
        <v>-3.3620297464113649E-3</v>
      </c>
      <c r="V62" s="3">
        <f t="shared" ref="V62:V67" si="4">O62*$W$58</f>
        <v>0.66263859964217164</v>
      </c>
      <c r="W62" s="4">
        <f t="shared" ref="W62:AA67" si="5">P62*$W$58</f>
        <v>0.19909788649387578</v>
      </c>
      <c r="X62" s="4">
        <f t="shared" si="5"/>
        <v>0.2013064783952736</v>
      </c>
      <c r="Y62" s="4">
        <f t="shared" si="5"/>
        <v>0.79638148932327035</v>
      </c>
      <c r="Z62" s="4">
        <f t="shared" si="5"/>
        <v>-0.93383413045931751</v>
      </c>
      <c r="AA62" s="5">
        <f t="shared" si="5"/>
        <v>-0.9255903233952737</v>
      </c>
    </row>
    <row r="63" spans="1:27" x14ac:dyDescent="0.3">
      <c r="A63" s="13" t="s">
        <v>46</v>
      </c>
      <c r="D63" s="6">
        <v>-2.6308224818112146E-2</v>
      </c>
      <c r="E63" s="7">
        <v>-4.7746697323351739E-3</v>
      </c>
      <c r="F63" s="7">
        <v>1.6153552724776341E-2</v>
      </c>
      <c r="G63" s="7">
        <v>-7.4646709128354888E-2</v>
      </c>
      <c r="H63" s="7">
        <v>5.7296036788022087E-3</v>
      </c>
      <c r="I63" s="8">
        <v>8.3846447275223654E-2</v>
      </c>
      <c r="K63" s="6">
        <v>1.5692178791918355E-2</v>
      </c>
      <c r="L63" s="7">
        <v>-4.7746697323351739E-3</v>
      </c>
      <c r="M63" s="8">
        <v>-3.0269238825505099E-2</v>
      </c>
      <c r="O63" s="6">
        <v>7.231849771123719E-4</v>
      </c>
      <c r="P63" s="7">
        <v>1.185268765365875E-3</v>
      </c>
      <c r="Q63" s="7">
        <v>8.0289371407275996E-4</v>
      </c>
      <c r="R63" s="7">
        <v>-1.577882129997515E-3</v>
      </c>
      <c r="S63" s="7">
        <v>1.4689536075278525E-4</v>
      </c>
      <c r="T63" s="8">
        <v>-1.2803606873062773E-3</v>
      </c>
      <c r="V63" s="6">
        <f t="shared" si="4"/>
        <v>0.19909788649387578</v>
      </c>
      <c r="W63" s="7">
        <f t="shared" si="5"/>
        <v>0.32631278798658298</v>
      </c>
      <c r="X63" s="7">
        <f t="shared" si="5"/>
        <v>0.22104225974022934</v>
      </c>
      <c r="Y63" s="7">
        <f t="shared" si="5"/>
        <v>-0.4344019955632259</v>
      </c>
      <c r="Z63" s="7">
        <f t="shared" si="5"/>
        <v>4.0441321082767052E-2</v>
      </c>
      <c r="AA63" s="8">
        <f t="shared" si="5"/>
        <v>-0.3524922597402293</v>
      </c>
    </row>
    <row r="64" spans="1:27" ht="15" thickBot="1" x14ac:dyDescent="0.35">
      <c r="A64" s="13" t="s">
        <v>47</v>
      </c>
      <c r="D64" s="9">
        <v>-3.2827594891036802E-2</v>
      </c>
      <c r="E64" s="10">
        <v>-3.0269238825505099E-2</v>
      </c>
      <c r="F64" s="10">
        <v>-3.1548416858270943E-2</v>
      </c>
      <c r="G64" s="10">
        <v>2.6773747125935783E-2</v>
      </c>
      <c r="H64" s="10">
        <v>3.6323086590606117E-2</v>
      </c>
      <c r="I64" s="11">
        <v>3.1548416858270943E-2</v>
      </c>
      <c r="K64" s="6">
        <v>-4.7746697323351739E-3</v>
      </c>
      <c r="L64" s="7">
        <v>1.6153552724776341E-2</v>
      </c>
      <c r="M64" s="8">
        <v>-3.1548416858270943E-2</v>
      </c>
      <c r="O64" s="6">
        <v>7.3120726460015038E-4</v>
      </c>
      <c r="P64" s="7">
        <v>8.0289371407275996E-4</v>
      </c>
      <c r="Q64" s="7">
        <v>1.2790373429482412E-3</v>
      </c>
      <c r="R64" s="7">
        <v>-1.7085168210297153E-3</v>
      </c>
      <c r="S64" s="7">
        <v>-1.4409394301208292E-3</v>
      </c>
      <c r="T64" s="8">
        <v>3.3631792952939295E-4</v>
      </c>
      <c r="V64" s="6">
        <f t="shared" si="4"/>
        <v>0.2013064783952736</v>
      </c>
      <c r="W64" s="7">
        <f t="shared" si="5"/>
        <v>0.22104225974022934</v>
      </c>
      <c r="X64" s="7">
        <f t="shared" si="5"/>
        <v>0.35212793377505147</v>
      </c>
      <c r="Y64" s="7">
        <f t="shared" si="5"/>
        <v>-0.47036664044722787</v>
      </c>
      <c r="Z64" s="7">
        <f t="shared" si="5"/>
        <v>-0.39670071168827514</v>
      </c>
      <c r="AA64" s="8">
        <f t="shared" si="5"/>
        <v>9.2590680224948596E-2</v>
      </c>
    </row>
    <row r="65" spans="1:27" x14ac:dyDescent="0.3">
      <c r="K65" s="6">
        <v>-7.1620045985027622E-2</v>
      </c>
      <c r="L65" s="7">
        <v>-7.4646709128354888E-2</v>
      </c>
      <c r="M65" s="8">
        <v>2.6773747125935783E-2</v>
      </c>
      <c r="O65" s="6">
        <v>2.8927033795845014E-3</v>
      </c>
      <c r="P65" s="7">
        <v>-1.577882129997515E-3</v>
      </c>
      <c r="Q65" s="7">
        <v>-1.7085168210297153E-3</v>
      </c>
      <c r="R65" s="7">
        <v>1.1418395705754246E-2</v>
      </c>
      <c r="S65" s="7">
        <v>-5.2685460425057444E-3</v>
      </c>
      <c r="T65" s="8">
        <v>-5.7561540918057734E-3</v>
      </c>
      <c r="V65" s="6">
        <f t="shared" si="4"/>
        <v>0.79638148932327035</v>
      </c>
      <c r="W65" s="7">
        <f t="shared" si="5"/>
        <v>-0.4344019955632259</v>
      </c>
      <c r="X65" s="7">
        <f t="shared" si="5"/>
        <v>-0.47036664044722787</v>
      </c>
      <c r="Y65" s="7">
        <f t="shared" si="5"/>
        <v>3.1435642665640846</v>
      </c>
      <c r="Z65" s="7">
        <f t="shared" si="5"/>
        <v>-1.450467605324129</v>
      </c>
      <c r="AA65" s="8">
        <f t="shared" si="5"/>
        <v>-1.5847095145527721</v>
      </c>
    </row>
    <row r="66" spans="1:27" x14ac:dyDescent="0.3">
      <c r="K66" s="6">
        <v>8.116938544969797E-2</v>
      </c>
      <c r="L66" s="7">
        <v>5.7296036788022087E-3</v>
      </c>
      <c r="M66" s="8">
        <v>3.6323086590606117E-2</v>
      </c>
      <c r="O66" s="6">
        <v>-3.3919737981937164E-3</v>
      </c>
      <c r="P66" s="7">
        <v>1.4689536075278525E-4</v>
      </c>
      <c r="Q66" s="7">
        <v>-1.4409394301208292E-3</v>
      </c>
      <c r="R66" s="7">
        <v>-5.2685460425057444E-3</v>
      </c>
      <c r="S66" s="7">
        <v>7.9406641120664551E-3</v>
      </c>
      <c r="T66" s="8">
        <v>2.0138997980010502E-3</v>
      </c>
      <c r="V66" s="6">
        <f t="shared" si="4"/>
        <v>-0.93383413045931751</v>
      </c>
      <c r="W66" s="7">
        <f t="shared" si="5"/>
        <v>4.0441321082767052E-2</v>
      </c>
      <c r="X66" s="7">
        <f t="shared" si="5"/>
        <v>-0.39670071168827514</v>
      </c>
      <c r="Y66" s="7">
        <f t="shared" si="5"/>
        <v>-1.450467605324129</v>
      </c>
      <c r="Z66" s="7">
        <f t="shared" si="5"/>
        <v>2.1861204147006799</v>
      </c>
      <c r="AA66" s="8">
        <f t="shared" si="5"/>
        <v>0.55444071168827513</v>
      </c>
    </row>
    <row r="67" spans="1:27" ht="15" thickBot="1" x14ac:dyDescent="0.35">
      <c r="K67" s="9">
        <v>4.7746697323351739E-3</v>
      </c>
      <c r="L67" s="10">
        <v>8.3846447275223654E-2</v>
      </c>
      <c r="M67" s="11">
        <v>3.1548416858270943E-2</v>
      </c>
      <c r="O67" s="9">
        <v>-3.3620297464113649E-3</v>
      </c>
      <c r="P67" s="10">
        <v>-1.2803606873062773E-3</v>
      </c>
      <c r="Q67" s="10">
        <v>3.3631792952939295E-4</v>
      </c>
      <c r="R67" s="10">
        <v>-5.7561540918057734E-3</v>
      </c>
      <c r="S67" s="10">
        <v>2.0138997980010502E-3</v>
      </c>
      <c r="T67" s="11">
        <v>8.0483267979929718E-3</v>
      </c>
      <c r="V67" s="9">
        <f t="shared" si="4"/>
        <v>-0.9255903233952737</v>
      </c>
      <c r="W67" s="10">
        <f t="shared" si="5"/>
        <v>-0.3524922597402293</v>
      </c>
      <c r="X67" s="10">
        <f t="shared" si="5"/>
        <v>9.2590680224948596E-2</v>
      </c>
      <c r="Y67" s="10">
        <f t="shared" si="5"/>
        <v>-1.5847095145527721</v>
      </c>
      <c r="Z67" s="10">
        <f t="shared" si="5"/>
        <v>0.55444071168827513</v>
      </c>
      <c r="AA67" s="11">
        <f t="shared" si="5"/>
        <v>2.2157607057750512</v>
      </c>
    </row>
    <row r="68" spans="1:27" x14ac:dyDescent="0.3">
      <c r="K68" s="7"/>
      <c r="L68" s="7"/>
      <c r="M68" s="7"/>
      <c r="O68" s="7"/>
      <c r="P68" s="7"/>
      <c r="Q68" s="7"/>
      <c r="R68" s="7"/>
      <c r="S68" s="7"/>
      <c r="T68" s="7"/>
      <c r="V68" s="7"/>
      <c r="W68" s="7"/>
      <c r="X68" s="7"/>
      <c r="Y68" s="7"/>
      <c r="Z68" s="7"/>
      <c r="AA68" s="7"/>
    </row>
    <row r="69" spans="1:27" x14ac:dyDescent="0.3">
      <c r="K69" s="7"/>
      <c r="L69" s="7"/>
      <c r="M69" s="7"/>
      <c r="O69" s="7"/>
      <c r="P69" s="7"/>
      <c r="Q69" s="7"/>
      <c r="R69" s="7"/>
      <c r="S69" s="7"/>
      <c r="T69" s="7"/>
      <c r="V69" s="7"/>
      <c r="W69" s="7"/>
      <c r="X69" s="7"/>
      <c r="Y69" s="7"/>
      <c r="Z69" s="7"/>
      <c r="AA69" s="7"/>
    </row>
    <row r="70" spans="1:27" x14ac:dyDescent="0.3">
      <c r="K70" s="7"/>
      <c r="L70" s="7"/>
      <c r="M70" s="7"/>
      <c r="O70" s="7"/>
      <c r="P70" s="7"/>
      <c r="Q70" s="7"/>
      <c r="R70" s="7"/>
      <c r="S70" s="7"/>
      <c r="T70" s="7"/>
      <c r="V70" s="7"/>
      <c r="W70" s="7"/>
      <c r="X70" s="7"/>
      <c r="Y70" s="7"/>
      <c r="Z70" s="7"/>
      <c r="AA70" s="7"/>
    </row>
    <row r="71" spans="1:27" x14ac:dyDescent="0.3">
      <c r="K71" s="7"/>
      <c r="L71" s="7"/>
      <c r="M71" s="7"/>
      <c r="O71" s="7"/>
      <c r="P71" s="7"/>
      <c r="Q71" s="7"/>
      <c r="R71" s="7"/>
      <c r="S71" s="7"/>
      <c r="T71" s="7"/>
      <c r="V71" s="7"/>
      <c r="W71" s="7"/>
      <c r="X71" s="7"/>
      <c r="Y71" s="7"/>
      <c r="Z71" s="7"/>
      <c r="AA71" s="7"/>
    </row>
    <row r="73" spans="1:27" x14ac:dyDescent="0.3">
      <c r="A73" s="13"/>
      <c r="B73" s="13"/>
      <c r="C73" s="13"/>
      <c r="D73" s="13" t="s">
        <v>49</v>
      </c>
      <c r="E73" s="13" t="s">
        <v>50</v>
      </c>
      <c r="F73" s="13" t="s">
        <v>51</v>
      </c>
      <c r="G73" s="13" t="s">
        <v>52</v>
      </c>
      <c r="H73" s="13" t="s">
        <v>53</v>
      </c>
      <c r="I73" s="13" t="s">
        <v>54</v>
      </c>
      <c r="J73" s="13"/>
      <c r="K73" s="13"/>
      <c r="L73" s="13"/>
      <c r="M73" s="13"/>
      <c r="N73" s="13"/>
      <c r="O73" s="13"/>
      <c r="P73" s="13"/>
      <c r="Q73" s="13"/>
    </row>
    <row r="74" spans="1:27" ht="15" thickBot="1" x14ac:dyDescent="0.35">
      <c r="A74" t="s">
        <v>33</v>
      </c>
      <c r="B74" t="s">
        <v>28</v>
      </c>
      <c r="D74" t="s">
        <v>48</v>
      </c>
      <c r="J74" s="13"/>
      <c r="K74" t="s">
        <v>41</v>
      </c>
      <c r="O74" t="s">
        <v>42</v>
      </c>
      <c r="P74" s="13"/>
      <c r="S74" t="s">
        <v>43</v>
      </c>
      <c r="U74" t="s">
        <v>44</v>
      </c>
    </row>
    <row r="75" spans="1:27" x14ac:dyDescent="0.3">
      <c r="A75" s="14" t="s">
        <v>8</v>
      </c>
      <c r="B75" s="13">
        <f>1/3</f>
        <v>0.33333333333333331</v>
      </c>
      <c r="C75" s="13"/>
      <c r="D75" s="34">
        <f>-(1-B77)/2</f>
        <v>-0.78869999999999996</v>
      </c>
      <c r="E75" s="35">
        <f>(1-B77)/2</f>
        <v>0.78869999999999996</v>
      </c>
      <c r="F75" s="35">
        <v>0</v>
      </c>
      <c r="G75" s="35">
        <f>-(1+B77)/2</f>
        <v>-0.21129999999999999</v>
      </c>
      <c r="H75" s="35">
        <f>(1+B77)/2</f>
        <v>0.21129999999999999</v>
      </c>
      <c r="I75" s="36">
        <v>0</v>
      </c>
      <c r="J75" s="13"/>
      <c r="K75" s="34">
        <f t="array" ref="K75:M77">MMULT(D75:I77,A7:C12)</f>
        <v>11.577399999999999</v>
      </c>
      <c r="L75" s="35">
        <v>0</v>
      </c>
      <c r="M75" s="36">
        <v>-0.42259999999999964</v>
      </c>
      <c r="N75" s="13"/>
      <c r="O75" s="13">
        <f t="array" ref="O75:Q77">MINVERSE(K75:M77)</f>
        <v>8.6572684802922698E-2</v>
      </c>
      <c r="P75" s="13">
        <v>0</v>
      </c>
      <c r="Q75" s="13">
        <v>6.8598031120715806E-3</v>
      </c>
      <c r="S75" s="61">
        <f>K75*L76*M77+L75*M76*K77+K76*L77*M75-M75*L76*K77-L77*M76*K75-K76*L75*M77</f>
        <v>616.0526666666666</v>
      </c>
      <c r="U75">
        <f>MDETERM(K75:M77)</f>
        <v>616.05266666666671</v>
      </c>
      <c r="W75">
        <f>$W$57*U75</f>
        <v>308.02633333333335</v>
      </c>
    </row>
    <row r="76" spans="1:27" x14ac:dyDescent="0.3">
      <c r="A76" s="14" t="s">
        <v>9</v>
      </c>
      <c r="B76" s="13">
        <f>1/3</f>
        <v>0.33333333333333331</v>
      </c>
      <c r="C76" s="13"/>
      <c r="D76" s="37">
        <f>-(1-B77)/2</f>
        <v>-0.78869999999999996</v>
      </c>
      <c r="E76" s="38">
        <v>0</v>
      </c>
      <c r="F76" s="38">
        <f>(1-B77)/2</f>
        <v>0.78869999999999996</v>
      </c>
      <c r="G76" s="38">
        <f>-(1+B77)/2</f>
        <v>-0.21129999999999999</v>
      </c>
      <c r="H76" s="38">
        <v>0</v>
      </c>
      <c r="I76" s="39">
        <f>(1+B77)/2</f>
        <v>0.21129999999999999</v>
      </c>
      <c r="J76" s="13"/>
      <c r="K76" s="37">
        <v>0</v>
      </c>
      <c r="L76" s="38">
        <v>10</v>
      </c>
      <c r="M76" s="39">
        <v>-0.42259999999999964</v>
      </c>
      <c r="N76" s="13"/>
      <c r="O76" s="13">
        <v>2.2866010373571947E-4</v>
      </c>
      <c r="P76" s="13">
        <v>0.1</v>
      </c>
      <c r="Q76" s="13">
        <v>7.9418684549697506E-3</v>
      </c>
    </row>
    <row r="77" spans="1:27" ht="15" thickBot="1" x14ac:dyDescent="0.35">
      <c r="A77" s="14" t="s">
        <v>10</v>
      </c>
      <c r="B77" s="13">
        <v>-0.57740000000000002</v>
      </c>
      <c r="C77" s="13"/>
      <c r="D77" s="40">
        <f>-0.5*(1-B75-B76)</f>
        <v>-0.16666666666666671</v>
      </c>
      <c r="E77" s="41">
        <f>-0.5*B75</f>
        <v>-0.16666666666666666</v>
      </c>
      <c r="F77" s="41">
        <f>-0.5*B76</f>
        <v>-0.16666666666666666</v>
      </c>
      <c r="G77" s="41">
        <f>0.5*(1-B75-B76)</f>
        <v>0.16666666666666671</v>
      </c>
      <c r="H77" s="41">
        <f>0.5*B75</f>
        <v>0.16666666666666666</v>
      </c>
      <c r="I77" s="42">
        <f>0.5*B76</f>
        <v>0.16666666666666666</v>
      </c>
      <c r="J77" s="13"/>
      <c r="K77" s="40">
        <v>-0.33333333333333348</v>
      </c>
      <c r="L77" s="41">
        <v>0</v>
      </c>
      <c r="M77" s="42">
        <v>5.3333333333333339</v>
      </c>
      <c r="N77" s="13"/>
      <c r="O77" s="13">
        <v>5.4107928001826703E-3</v>
      </c>
      <c r="P77" s="13">
        <v>0</v>
      </c>
      <c r="Q77" s="13">
        <v>0.18792873769450444</v>
      </c>
    </row>
    <row r="78" spans="1:27" ht="15" thickBot="1" x14ac:dyDescent="0.35">
      <c r="D78" t="s">
        <v>63</v>
      </c>
      <c r="K78" t="s">
        <v>64</v>
      </c>
      <c r="O78" t="s">
        <v>65</v>
      </c>
      <c r="V78" t="s">
        <v>67</v>
      </c>
    </row>
    <row r="79" spans="1:27" x14ac:dyDescent="0.3">
      <c r="A79" s="13" t="s">
        <v>45</v>
      </c>
      <c r="D79" s="3">
        <f t="array" ref="D79:D81">MMULT($O$75:$Q$77,D75:D77)</f>
        <v>-6.9423177022743726E-2</v>
      </c>
      <c r="E79" s="4">
        <f t="array" ref="E79:E81">MMULT($O$75:$Q$77,E75:E77)</f>
        <v>6.7136575985386526E-2</v>
      </c>
      <c r="F79" s="4">
        <f t="array" ref="F79:F81">MMULT($O$75:$Q$77,F75:F77)</f>
        <v>-1.1433005186785967E-3</v>
      </c>
      <c r="G79" s="4">
        <f t="array" ref="G79:G81">MMULT($O$75:$Q$77,G75:G77)</f>
        <v>-1.7149507780178968E-2</v>
      </c>
      <c r="H79" s="4">
        <f t="array" ref="H79:H81">MMULT($O$75:$Q$77,H75:H77)</f>
        <v>1.9436108817536161E-2</v>
      </c>
      <c r="I79" s="5">
        <f t="array" ref="I79:I81">MMULT($O$75:$Q$77,I75:I77)</f>
        <v>1.1433005186785967E-3</v>
      </c>
      <c r="K79" s="3">
        <f t="array" ref="K79:M84">TRANSPOSE(D79:I81)</f>
        <v>-6.9423177022743726E-2</v>
      </c>
      <c r="L79" s="4">
        <v>-8.0373988966311316E-2</v>
      </c>
      <c r="M79" s="5">
        <v>-3.5588948563921488E-2</v>
      </c>
      <c r="O79" s="3">
        <f t="array" ref="O79:T84">MMULT(K79:M84,D79:I81)</f>
        <v>1.2546128870173395E-2</v>
      </c>
      <c r="P79" s="4">
        <v>-3.6061206427822341E-3</v>
      </c>
      <c r="Q79" s="4">
        <v>-5.0386406509638805E-3</v>
      </c>
      <c r="R79" s="4">
        <v>1.7123636001756619E-3</v>
      </c>
      <c r="S79" s="4">
        <v>-2.6149729309356911E-3</v>
      </c>
      <c r="T79" s="5">
        <v>-2.9987582456672511E-3</v>
      </c>
      <c r="V79" s="3">
        <f t="array" ref="V79">O79*$W$75</f>
        <v>3.8645380734069872</v>
      </c>
      <c r="W79" s="4">
        <f t="shared" ref="W79:AA81" si="6">P79*$W$75</f>
        <v>-1.1107801191538549</v>
      </c>
      <c r="X79" s="4">
        <f t="shared" si="6"/>
        <v>-1.552034004700684</v>
      </c>
      <c r="Y79" s="4">
        <f t="shared" si="6"/>
        <v>0.5274530810955752</v>
      </c>
      <c r="Z79" s="4">
        <f t="shared" si="6"/>
        <v>-0.80548052368204093</v>
      </c>
      <c r="AA79" s="5">
        <f t="shared" si="6"/>
        <v>-0.9236965069659826</v>
      </c>
    </row>
    <row r="80" spans="1:27" x14ac:dyDescent="0.3">
      <c r="A80" s="13" t="s">
        <v>46</v>
      </c>
      <c r="D80" s="6">
        <v>-8.0373988966311316E-2</v>
      </c>
      <c r="E80" s="7">
        <v>-1.1433005186785965E-3</v>
      </c>
      <c r="F80" s="7">
        <v>7.7546355257505042E-2</v>
      </c>
      <c r="G80" s="7">
        <v>-1.9854671137424396E-2</v>
      </c>
      <c r="H80" s="7">
        <v>1.371960622414316E-3</v>
      </c>
      <c r="I80" s="8">
        <v>2.2453644742494956E-2</v>
      </c>
      <c r="K80" s="6">
        <v>6.7136575985386526E-2</v>
      </c>
      <c r="L80" s="7">
        <v>-1.1433005186785965E-3</v>
      </c>
      <c r="M80" s="8">
        <v>-2.7053964000913335E-2</v>
      </c>
      <c r="O80" s="6">
        <v>-3.6061206427822341E-3</v>
      </c>
      <c r="P80" s="7">
        <v>5.240543939280304E-3</v>
      </c>
      <c r="Q80" s="7">
        <v>6.8195348038676369E-4</v>
      </c>
      <c r="R80" s="7">
        <v>-1.9450981160324978E-3</v>
      </c>
      <c r="S80" s="7">
        <v>4.250048714022869E-4</v>
      </c>
      <c r="T80" s="8">
        <v>-7.9628353225462325E-4</v>
      </c>
      <c r="V80" s="6">
        <f>O80*$W$75</f>
        <v>-1.1107801191538549</v>
      </c>
      <c r="W80" s="7">
        <f t="shared" si="6"/>
        <v>1.6142255342887348</v>
      </c>
      <c r="X80" s="7">
        <f t="shared" si="6"/>
        <v>0.21005963006744008</v>
      </c>
      <c r="Y80" s="7">
        <f t="shared" si="6"/>
        <v>-0.59914144065506492</v>
      </c>
      <c r="Z80" s="7">
        <f t="shared" si="6"/>
        <v>0.13091269218685131</v>
      </c>
      <c r="AA80" s="8">
        <f t="shared" si="6"/>
        <v>-0.24527629673410667</v>
      </c>
    </row>
    <row r="81" spans="1:27" ht="15" thickBot="1" x14ac:dyDescent="0.35">
      <c r="A81" s="13" t="s">
        <v>47</v>
      </c>
      <c r="D81" s="9">
        <v>-3.5588948563921488E-2</v>
      </c>
      <c r="E81" s="10">
        <v>-2.7053964000913335E-2</v>
      </c>
      <c r="F81" s="10">
        <v>-3.1321456282417406E-2</v>
      </c>
      <c r="G81" s="10">
        <v>3.0178155763738813E-2</v>
      </c>
      <c r="H81" s="10">
        <v>3.2464756801096006E-2</v>
      </c>
      <c r="I81" s="11">
        <v>3.1321456282417406E-2</v>
      </c>
      <c r="K81" s="6">
        <v>-1.1433005186785967E-3</v>
      </c>
      <c r="L81" s="7">
        <v>7.7546355257505042E-2</v>
      </c>
      <c r="M81" s="8">
        <v>-3.1321456282417406E-2</v>
      </c>
      <c r="O81" s="6">
        <v>-5.0386406509638805E-3</v>
      </c>
      <c r="P81" s="7">
        <v>6.8195348038676369E-4</v>
      </c>
      <c r="Q81" s="7">
        <v>6.9957779734505753E-3</v>
      </c>
      <c r="R81" s="7">
        <v>-2.465274126841411E-3</v>
      </c>
      <c r="S81" s="7">
        <v>-9.3267422833197614E-4</v>
      </c>
      <c r="T81" s="8">
        <v>7.588575522999286E-4</v>
      </c>
      <c r="V81" s="6">
        <f>O81*$W$75</f>
        <v>-1.552034004700684</v>
      </c>
      <c r="W81" s="7">
        <f t="shared" si="6"/>
        <v>0.21005963006744008</v>
      </c>
      <c r="X81" s="7">
        <f t="shared" si="6"/>
        <v>2.1548838379760782</v>
      </c>
      <c r="Y81" s="7">
        <f t="shared" si="6"/>
        <v>-0.75936934995249483</v>
      </c>
      <c r="Z81" s="7">
        <f t="shared" si="6"/>
        <v>-0.28728822274759475</v>
      </c>
      <c r="AA81" s="8">
        <f t="shared" si="6"/>
        <v>0.23374810935725526</v>
      </c>
    </row>
    <row r="82" spans="1:27" x14ac:dyDescent="0.3">
      <c r="K82" s="6">
        <v>-1.7149507780178968E-2</v>
      </c>
      <c r="L82" s="7">
        <v>-1.9854671137424396E-2</v>
      </c>
      <c r="M82" s="8">
        <v>3.0178155763738813E-2</v>
      </c>
      <c r="O82" s="6">
        <v>1.7123636001756619E-3</v>
      </c>
      <c r="P82" s="7">
        <v>-1.9450981160324978E-3</v>
      </c>
      <c r="Q82" s="7">
        <v>-2.465274126841411E-3</v>
      </c>
      <c r="R82" s="7">
        <v>1.5990346683781745E-3</v>
      </c>
      <c r="S82" s="7">
        <v>6.1916696122110053E-4</v>
      </c>
      <c r="T82" s="8">
        <v>4.7980701309897124E-4</v>
      </c>
      <c r="V82" s="6">
        <f>O82*$W$75</f>
        <v>0.5274530810955752</v>
      </c>
      <c r="W82" s="7">
        <f t="shared" ref="W82:Y84" si="7">P82*$W$75</f>
        <v>-0.59914144065506492</v>
      </c>
      <c r="X82" s="7">
        <f t="shared" si="7"/>
        <v>-0.75936934995249483</v>
      </c>
      <c r="Y82" s="7">
        <f t="shared" si="7"/>
        <v>0.49254478577341171</v>
      </c>
      <c r="Z82" s="7">
        <f t="array" ref="Z82">S82*$W$75</f>
        <v>0.19071972878607779</v>
      </c>
      <c r="AA82" s="8">
        <f>T82*$W$75</f>
        <v>0.14779319495249477</v>
      </c>
    </row>
    <row r="83" spans="1:27" x14ac:dyDescent="0.3">
      <c r="K83" s="6">
        <v>1.9436108817536161E-2</v>
      </c>
      <c r="L83" s="7">
        <v>1.371960622414316E-3</v>
      </c>
      <c r="M83" s="8">
        <v>3.2464756801096006E-2</v>
      </c>
      <c r="O83" s="6">
        <v>-2.6149729309356911E-3</v>
      </c>
      <c r="P83" s="7">
        <v>4.250048714022869E-4</v>
      </c>
      <c r="Q83" s="7">
        <v>-9.3267422833197614E-4</v>
      </c>
      <c r="R83" s="7">
        <v>6.1916696122110053E-4</v>
      </c>
      <c r="S83" s="7">
        <v>1.4336050360708717E-3</v>
      </c>
      <c r="T83" s="8">
        <v>1.0698702905734077E-3</v>
      </c>
      <c r="V83" s="6">
        <f>O83*$W$75</f>
        <v>-0.80548052368204093</v>
      </c>
      <c r="W83" s="7">
        <f t="shared" si="7"/>
        <v>0.13091269218685131</v>
      </c>
      <c r="X83" s="7">
        <f t="shared" si="7"/>
        <v>-0.28728822274759475</v>
      </c>
      <c r="Y83" s="7">
        <f t="shared" si="7"/>
        <v>0.19071972878607779</v>
      </c>
      <c r="Z83" s="7">
        <f>S83*$W$75</f>
        <v>0.4415881027091117</v>
      </c>
      <c r="AA83" s="8">
        <f>T83*$W$75</f>
        <v>0.32954822274759471</v>
      </c>
    </row>
    <row r="84" spans="1:27" ht="15" thickBot="1" x14ac:dyDescent="0.35">
      <c r="K84" s="9">
        <v>1.1433005186785967E-3</v>
      </c>
      <c r="L84" s="10">
        <v>2.2453644742494956E-2</v>
      </c>
      <c r="M84" s="11">
        <v>3.1321456282417406E-2</v>
      </c>
      <c r="O84" s="9">
        <v>-2.9987582456672511E-3</v>
      </c>
      <c r="P84" s="10">
        <v>-7.9628353225462325E-4</v>
      </c>
      <c r="Q84" s="10">
        <v>7.588575522999286E-4</v>
      </c>
      <c r="R84" s="10">
        <v>4.7980701309897124E-4</v>
      </c>
      <c r="S84" s="10">
        <v>1.0698702905734077E-3</v>
      </c>
      <c r="T84" s="11">
        <v>1.4865069219495669E-3</v>
      </c>
      <c r="V84" s="9">
        <f>O84*$W$75</f>
        <v>-0.9236965069659826</v>
      </c>
      <c r="W84" s="10">
        <f t="shared" si="7"/>
        <v>-0.24527629673410667</v>
      </c>
      <c r="X84" s="10">
        <f t="shared" si="7"/>
        <v>0.23374810935725526</v>
      </c>
      <c r="Y84" s="10">
        <f t="shared" si="7"/>
        <v>0.14779319495249477</v>
      </c>
      <c r="Z84" s="10">
        <f>S84*$W$75</f>
        <v>0.32954822274759471</v>
      </c>
      <c r="AA84" s="11">
        <f>T84*$W$75</f>
        <v>0.45788327664274464</v>
      </c>
    </row>
    <row r="86" spans="1:27" x14ac:dyDescent="0.3">
      <c r="U86" t="s">
        <v>68</v>
      </c>
      <c r="V86" s="13">
        <f t="shared" ref="V86:AA86" si="8">V62+V79</f>
        <v>4.5271766730491585</v>
      </c>
      <c r="W86" s="13">
        <f t="shared" si="8"/>
        <v>-0.91168223265997916</v>
      </c>
      <c r="X86" s="13">
        <f t="shared" si="8"/>
        <v>-1.3507275263054104</v>
      </c>
      <c r="Y86" s="13">
        <f t="shared" si="8"/>
        <v>1.3238345704188457</v>
      </c>
      <c r="Z86" s="13">
        <f t="shared" si="8"/>
        <v>-1.7393146541413584</v>
      </c>
      <c r="AA86" s="13">
        <f t="shared" si="8"/>
        <v>-1.8492868303612564</v>
      </c>
    </row>
    <row r="87" spans="1:27" x14ac:dyDescent="0.3">
      <c r="V87" s="13">
        <f t="shared" ref="V87:AA91" si="9">V63+V80</f>
        <v>-0.91168223265997916</v>
      </c>
      <c r="W87" s="13">
        <f t="shared" si="9"/>
        <v>1.9405383222753179</v>
      </c>
      <c r="X87" s="13">
        <f t="shared" si="9"/>
        <v>0.43110188980766939</v>
      </c>
      <c r="Y87" s="13">
        <f t="shared" si="9"/>
        <v>-1.0335434362182907</v>
      </c>
      <c r="Z87" s="13">
        <f t="shared" si="9"/>
        <v>0.17135401326961835</v>
      </c>
      <c r="AA87" s="13">
        <f t="shared" si="9"/>
        <v>-0.59776855647433602</v>
      </c>
    </row>
    <row r="88" spans="1:27" x14ac:dyDescent="0.3">
      <c r="V88" s="13">
        <f t="shared" si="9"/>
        <v>-1.3507275263054104</v>
      </c>
      <c r="W88" s="13">
        <f t="shared" si="9"/>
        <v>0.43110188980766939</v>
      </c>
      <c r="X88" s="13">
        <f t="shared" si="9"/>
        <v>2.5070117717511295</v>
      </c>
      <c r="Y88" s="13">
        <f t="shared" si="9"/>
        <v>-1.2297359903997227</v>
      </c>
      <c r="Z88" s="13">
        <f t="shared" si="9"/>
        <v>-0.68398893443586983</v>
      </c>
      <c r="AA88" s="13">
        <f>AA64+AA81</f>
        <v>0.32633878958220386</v>
      </c>
    </row>
    <row r="89" spans="1:27" x14ac:dyDescent="0.3">
      <c r="V89" s="13">
        <f t="shared" si="9"/>
        <v>1.3238345704188457</v>
      </c>
      <c r="W89" s="13">
        <f t="shared" si="9"/>
        <v>-1.0335434362182907</v>
      </c>
      <c r="X89" s="13">
        <f t="shared" si="9"/>
        <v>-1.2297359903997227</v>
      </c>
      <c r="Y89" s="13">
        <f t="shared" si="9"/>
        <v>3.6361090523374964</v>
      </c>
      <c r="Z89" s="13">
        <f t="shared" si="9"/>
        <v>-1.2597478765380512</v>
      </c>
      <c r="AA89" s="13">
        <f t="shared" si="9"/>
        <v>-1.4369163196002774</v>
      </c>
    </row>
    <row r="90" spans="1:27" x14ac:dyDescent="0.3">
      <c r="V90" s="13">
        <f t="shared" si="9"/>
        <v>-1.7393146541413584</v>
      </c>
      <c r="W90" s="13">
        <f t="shared" si="9"/>
        <v>0.17135401326961835</v>
      </c>
      <c r="X90" s="13">
        <f t="shared" si="9"/>
        <v>-0.68398893443586983</v>
      </c>
      <c r="Y90" s="13">
        <f t="shared" si="9"/>
        <v>-1.2597478765380512</v>
      </c>
      <c r="Z90" s="13">
        <f t="shared" si="9"/>
        <v>2.6277085174097916</v>
      </c>
      <c r="AA90" s="13">
        <f t="shared" si="9"/>
        <v>0.88398893443586979</v>
      </c>
    </row>
    <row r="91" spans="1:27" x14ac:dyDescent="0.3">
      <c r="V91" s="13">
        <f t="shared" si="9"/>
        <v>-1.8492868303612564</v>
      </c>
      <c r="W91" s="13">
        <f t="shared" si="9"/>
        <v>-0.59776855647433602</v>
      </c>
      <c r="X91" s="13">
        <f t="shared" si="9"/>
        <v>0.32633878958220386</v>
      </c>
      <c r="Y91" s="13">
        <f t="shared" si="9"/>
        <v>-1.4369163196002774</v>
      </c>
      <c r="Z91" s="13">
        <f t="shared" si="9"/>
        <v>0.88398893443586979</v>
      </c>
      <c r="AA91" s="13">
        <f t="shared" si="9"/>
        <v>2.6736439824177958</v>
      </c>
    </row>
    <row r="92" spans="1:27" x14ac:dyDescent="0.3">
      <c r="A92" t="s">
        <v>61</v>
      </c>
    </row>
    <row r="94" spans="1:27" x14ac:dyDescent="0.3">
      <c r="A94" s="13"/>
      <c r="B94" s="13"/>
      <c r="C94" s="13"/>
      <c r="D94" s="13" t="s">
        <v>49</v>
      </c>
      <c r="E94" s="13" t="s">
        <v>50</v>
      </c>
      <c r="F94" s="13" t="s">
        <v>51</v>
      </c>
      <c r="G94" s="13" t="s">
        <v>52</v>
      </c>
      <c r="H94" s="13" t="s">
        <v>53</v>
      </c>
      <c r="I94" s="13" t="s">
        <v>54</v>
      </c>
      <c r="U94" s="16">
        <f>U96+U110+U126</f>
        <v>583.33333333333337</v>
      </c>
    </row>
    <row r="95" spans="1:27" ht="15" thickBot="1" x14ac:dyDescent="0.35">
      <c r="A95" t="s">
        <v>33</v>
      </c>
      <c r="B95" t="s">
        <v>28</v>
      </c>
      <c r="D95" t="s">
        <v>48</v>
      </c>
      <c r="J95" s="13"/>
      <c r="K95" t="s">
        <v>41</v>
      </c>
      <c r="O95" t="s">
        <v>42</v>
      </c>
      <c r="P95" s="13"/>
      <c r="S95" t="s">
        <v>44</v>
      </c>
      <c r="U95" t="s">
        <v>62</v>
      </c>
      <c r="W95" s="61">
        <f>0.5*5/9</f>
        <v>0.27777777777777779</v>
      </c>
    </row>
    <row r="96" spans="1:27" x14ac:dyDescent="0.3">
      <c r="A96" s="14" t="s">
        <v>8</v>
      </c>
      <c r="B96" s="13">
        <f>1/3</f>
        <v>0.33333333333333331</v>
      </c>
      <c r="C96" s="13"/>
      <c r="D96" s="34">
        <f>-(1-B98)/2</f>
        <v>-0.88729849999999999</v>
      </c>
      <c r="E96" s="35">
        <f>(1-B98)/2</f>
        <v>0.88729849999999999</v>
      </c>
      <c r="F96" s="35">
        <v>0</v>
      </c>
      <c r="G96" s="35">
        <f>-(1+B98)/2</f>
        <v>-0.11270150000000001</v>
      </c>
      <c r="H96" s="35">
        <f>(1+B98)/2</f>
        <v>0.11270150000000001</v>
      </c>
      <c r="I96" s="36">
        <v>0</v>
      </c>
      <c r="J96" s="13"/>
      <c r="K96" s="34">
        <f t="array" ref="K96:M98">MMULT(D96:I98,A7:C12)</f>
        <v>11.774597</v>
      </c>
      <c r="L96" s="35">
        <v>0</v>
      </c>
      <c r="M96" s="36">
        <v>-0.22540300000000002</v>
      </c>
      <c r="N96" s="13"/>
      <c r="O96" s="13">
        <f t="array" ref="O96:Q98">MINVERSE(K96:M98)</f>
        <v>8.5030331036524145E-2</v>
      </c>
      <c r="P96" s="13">
        <v>0</v>
      </c>
      <c r="Q96" s="13">
        <v>3.5936421949923098E-3</v>
      </c>
      <c r="S96">
        <f>MDETERM(K96:M98)</f>
        <v>627.22716333333346</v>
      </c>
      <c r="U96">
        <f>S96*W95</f>
        <v>174.22976759259262</v>
      </c>
    </row>
    <row r="97" spans="1:27" x14ac:dyDescent="0.3">
      <c r="A97" s="14" t="s">
        <v>9</v>
      </c>
      <c r="B97" s="13">
        <f>1/3</f>
        <v>0.33333333333333331</v>
      </c>
      <c r="C97" s="13"/>
      <c r="D97" s="37">
        <f>-(1-B98)/2</f>
        <v>-0.88729849999999999</v>
      </c>
      <c r="E97" s="38">
        <v>0</v>
      </c>
      <c r="F97" s="38">
        <f>(1-B98)/2</f>
        <v>0.88729849999999999</v>
      </c>
      <c r="G97" s="38">
        <f>-(1+B98)/2</f>
        <v>-0.11270150000000001</v>
      </c>
      <c r="H97" s="38">
        <v>0</v>
      </c>
      <c r="I97" s="39">
        <f>(1+B98)/2</f>
        <v>0.11270150000000001</v>
      </c>
      <c r="J97" s="13"/>
      <c r="K97" s="37">
        <v>0</v>
      </c>
      <c r="L97" s="38">
        <v>10</v>
      </c>
      <c r="M97" s="39">
        <v>-0.22540300000000002</v>
      </c>
      <c r="N97" s="13"/>
      <c r="O97" s="13">
        <v>1.1978807316641038E-4</v>
      </c>
      <c r="P97" s="13">
        <v>0.1</v>
      </c>
      <c r="Q97" s="13">
        <v>4.2313688608229868E-3</v>
      </c>
    </row>
    <row r="98" spans="1:27" ht="15" thickBot="1" x14ac:dyDescent="0.35">
      <c r="A98" s="14" t="s">
        <v>10</v>
      </c>
      <c r="B98" s="64">
        <v>-0.77459699999999998</v>
      </c>
      <c r="C98" s="13"/>
      <c r="D98" s="40">
        <f>-0.5*(1-B96-B97)</f>
        <v>-0.16666666666666671</v>
      </c>
      <c r="E98" s="41">
        <f>-0.5*B96</f>
        <v>-0.16666666666666666</v>
      </c>
      <c r="F98" s="41">
        <f>-0.5*B97</f>
        <v>-0.16666666666666666</v>
      </c>
      <c r="G98" s="41">
        <f>0.5*(1-B96-B97)</f>
        <v>0.16666666666666671</v>
      </c>
      <c r="H98" s="41">
        <f>0.5*B96</f>
        <v>0.16666666666666666</v>
      </c>
      <c r="I98" s="42">
        <f>0.5*B97</f>
        <v>0.16666666666666666</v>
      </c>
      <c r="J98" s="13"/>
      <c r="K98" s="40">
        <v>-0.33333333333333348</v>
      </c>
      <c r="L98" s="41">
        <v>0</v>
      </c>
      <c r="M98" s="42">
        <v>5.3333333333333339</v>
      </c>
      <c r="N98" s="13"/>
      <c r="O98" s="13">
        <v>5.3143956897827608E-3</v>
      </c>
      <c r="P98" s="13">
        <v>0</v>
      </c>
      <c r="Q98" s="13">
        <v>0.18772460263718699</v>
      </c>
    </row>
    <row r="99" spans="1:27" ht="15" thickBot="1" x14ac:dyDescent="0.35">
      <c r="D99" t="s">
        <v>63</v>
      </c>
      <c r="K99" t="s">
        <v>64</v>
      </c>
      <c r="O99" t="s">
        <v>65</v>
      </c>
      <c r="V99" t="s">
        <v>67</v>
      </c>
    </row>
    <row r="100" spans="1:27" x14ac:dyDescent="0.3">
      <c r="A100" s="13" t="s">
        <v>45</v>
      </c>
      <c r="D100">
        <f t="array" ref="D100:D102">MMULT($O$96:$Q$98,D96:D98)</f>
        <v>-7.6046225549043375E-2</v>
      </c>
      <c r="E100">
        <f t="array" ref="E100:E102">MMULT($O$96:$Q$98,E96:E98)</f>
        <v>7.4848344817379273E-2</v>
      </c>
      <c r="F100">
        <f t="array" ref="F100:F102">MMULT($O$96:$Q$98,F96:F98)</f>
        <v>-5.9894036583205156E-4</v>
      </c>
      <c r="G100">
        <f t="array" ref="G100:G102">MMULT($O$96:$Q$98,G96:G98)</f>
        <v>-8.9841054874807754E-3</v>
      </c>
      <c r="H100">
        <f t="array" ref="H100:H102">MMULT($O$96:$Q$98,H96:H98)</f>
        <v>1.0181986219144878E-2</v>
      </c>
      <c r="I100">
        <f t="array" ref="I100:I102">MMULT($O$96:$Q$98,I96:I98)</f>
        <v>5.9894036583205156E-4</v>
      </c>
      <c r="K100" s="3">
        <f t="array" ref="K100:M105">TRANSPOSE(D100:I102)</f>
        <v>-7.6046225549043375E-2</v>
      </c>
      <c r="L100" s="4">
        <v>-8.9541365921108951E-2</v>
      </c>
      <c r="M100" s="5">
        <v>-3.6002889096815212E-2</v>
      </c>
      <c r="O100" s="3">
        <f t="array" ref="O100:T105">MMULT(K100:M105,D100:I102)</f>
        <v>1.5096892654591484E-2</v>
      </c>
      <c r="P100" s="4">
        <v>-4.6816361803138978E-3</v>
      </c>
      <c r="Q100" s="4">
        <v>-6.7098597133238699E-3</v>
      </c>
      <c r="R100" s="4">
        <v>5.2553925636096956E-4</v>
      </c>
      <c r="S100" s="4">
        <v>-1.9866591385276603E-3</v>
      </c>
      <c r="T100" s="5">
        <v>-2.2442768787870244E-3</v>
      </c>
      <c r="V100" s="3">
        <f t="shared" ref="V100:AA105" si="10">O100*$W$75</f>
        <v>4.6502404891207485</v>
      </c>
      <c r="W100" s="4">
        <f t="shared" si="10"/>
        <v>-1.4420672266227623</v>
      </c>
      <c r="X100" s="4">
        <f t="shared" si="10"/>
        <v>-2.066813484676203</v>
      </c>
      <c r="Y100" s="4">
        <f t="shared" si="10"/>
        <v>0.16187993015959615</v>
      </c>
      <c r="Z100" s="4">
        <f t="shared" si="10"/>
        <v>-0.61194333002383394</v>
      </c>
      <c r="AA100" s="5">
        <f t="shared" si="10"/>
        <v>-0.69129637795754495</v>
      </c>
    </row>
    <row r="101" spans="1:27" x14ac:dyDescent="0.3">
      <c r="A101" s="13" t="s">
        <v>46</v>
      </c>
      <c r="D101">
        <v>-8.9541365921108951E-2</v>
      </c>
      <c r="E101">
        <v>-5.9894036583205156E-4</v>
      </c>
      <c r="F101">
        <v>8.8024621856529497E-2</v>
      </c>
      <c r="G101">
        <v>-1.0578422152057468E-2</v>
      </c>
      <c r="H101">
        <v>7.1872843899846201E-4</v>
      </c>
      <c r="I101">
        <v>1.1975378143470499E-2</v>
      </c>
      <c r="K101" s="6">
        <v>7.4848344817379273E-2</v>
      </c>
      <c r="L101" s="7">
        <v>-5.9894036583205156E-4</v>
      </c>
      <c r="M101" s="8">
        <v>-2.6571978448913791E-2</v>
      </c>
      <c r="O101" s="6">
        <v>-4.6816361803138978E-3</v>
      </c>
      <c r="P101" s="7">
        <v>6.308703490152669E-3</v>
      </c>
      <c r="Q101" s="7">
        <v>7.3381782169055045E-4</v>
      </c>
      <c r="R101" s="7">
        <v>-1.4815635668102905E-3</v>
      </c>
      <c r="S101" s="7">
        <v>-8.5609706445274728E-5</v>
      </c>
      <c r="T101" s="8">
        <v>-7.9371185827375567E-4</v>
      </c>
      <c r="V101" s="6">
        <f t="shared" si="10"/>
        <v>-1.4420672266227623</v>
      </c>
      <c r="W101" s="7">
        <f t="shared" si="10"/>
        <v>1.9432468041589295</v>
      </c>
      <c r="X101" s="7">
        <f t="shared" si="10"/>
        <v>0.22603521294999407</v>
      </c>
      <c r="Y101" s="7">
        <f t="shared" si="10"/>
        <v>-0.45636059308482885</v>
      </c>
      <c r="Z101" s="7">
        <f t="shared" si="10"/>
        <v>-2.637004397408101E-2</v>
      </c>
      <c r="AA101" s="8">
        <f t="shared" si="10"/>
        <v>-0.2444841534272513</v>
      </c>
    </row>
    <row r="102" spans="1:27" x14ac:dyDescent="0.3">
      <c r="A102" s="13" t="s">
        <v>47</v>
      </c>
      <c r="D102">
        <v>-3.6002889096815212E-2</v>
      </c>
      <c r="E102">
        <v>-2.6571978448913791E-2</v>
      </c>
      <c r="F102">
        <v>-3.1287433772864498E-2</v>
      </c>
      <c r="G102">
        <v>3.0688493407032454E-2</v>
      </c>
      <c r="H102">
        <v>3.1886374138696549E-2</v>
      </c>
      <c r="I102">
        <v>3.1287433772864498E-2</v>
      </c>
      <c r="K102" s="6">
        <v>-5.9894036583205156E-4</v>
      </c>
      <c r="L102" s="7">
        <v>8.8024621856529497E-2</v>
      </c>
      <c r="M102" s="8">
        <v>-3.1287433772864498E-2</v>
      </c>
      <c r="O102" s="6">
        <v>-6.7098597133238699E-3</v>
      </c>
      <c r="P102" s="7">
        <v>7.3381782169055045E-4</v>
      </c>
      <c r="Q102" s="7">
        <v>8.7275962946382155E-3</v>
      </c>
      <c r="R102" s="7">
        <v>-1.8859448714077648E-3</v>
      </c>
      <c r="S102" s="7">
        <v>-9.4047542261186583E-4</v>
      </c>
      <c r="T102" s="8">
        <v>7.4865891014733914E-5</v>
      </c>
      <c r="V102" s="6">
        <f t="shared" si="10"/>
        <v>-2.066813484676203</v>
      </c>
      <c r="W102" s="7">
        <f t="shared" si="10"/>
        <v>0.22603521294999407</v>
      </c>
      <c r="X102" s="7">
        <f t="shared" si="10"/>
        <v>2.6883294854509963</v>
      </c>
      <c r="Y102" s="7">
        <f t="shared" si="10"/>
        <v>-0.58092068360853866</v>
      </c>
      <c r="Z102" s="7">
        <f t="shared" si="10"/>
        <v>-0.28969119601725013</v>
      </c>
      <c r="AA102" s="8">
        <f t="shared" si="10"/>
        <v>2.3060665901001434E-2</v>
      </c>
    </row>
    <row r="103" spans="1:27" x14ac:dyDescent="0.3">
      <c r="K103" s="6">
        <v>-8.9841054874807754E-3</v>
      </c>
      <c r="L103" s="7">
        <v>-1.0578422152057468E-2</v>
      </c>
      <c r="M103" s="8">
        <v>3.0688493407032454E-2</v>
      </c>
      <c r="O103" s="6">
        <v>5.2553925636096956E-4</v>
      </c>
      <c r="P103" s="7">
        <v>-1.4815635668102905E-3</v>
      </c>
      <c r="Q103" s="7">
        <v>-1.8859448714077648E-3</v>
      </c>
      <c r="R103" s="7">
        <v>1.1344007942307966E-3</v>
      </c>
      <c r="S103" s="7">
        <v>8.7946573142427104E-4</v>
      </c>
      <c r="T103" s="8">
        <v>8.2810265620201812E-4</v>
      </c>
      <c r="V103" s="6">
        <f t="shared" si="10"/>
        <v>0.16187993015959615</v>
      </c>
      <c r="W103" s="7">
        <f t="shared" si="10"/>
        <v>-0.45636059308482885</v>
      </c>
      <c r="X103" s="7">
        <f t="shared" si="10"/>
        <v>-0.58092068360853866</v>
      </c>
      <c r="Y103" s="7">
        <f t="shared" si="10"/>
        <v>0.34942531717733344</v>
      </c>
      <c r="Z103" s="7">
        <f t="shared" si="10"/>
        <v>0.27089860454293635</v>
      </c>
      <c r="AA103" s="8">
        <f t="shared" si="10"/>
        <v>0.2550774248135016</v>
      </c>
    </row>
    <row r="104" spans="1:27" x14ac:dyDescent="0.3">
      <c r="K104" s="6">
        <v>1.0181986219144878E-2</v>
      </c>
      <c r="L104" s="7">
        <v>7.1872843899846201E-4</v>
      </c>
      <c r="M104" s="8">
        <v>3.1886374138696549E-2</v>
      </c>
      <c r="O104" s="6">
        <v>-1.9866591385276603E-3</v>
      </c>
      <c r="P104" s="7">
        <v>-8.5609706445274728E-5</v>
      </c>
      <c r="Q104" s="7">
        <v>-9.4047542261186583E-4</v>
      </c>
      <c r="R104" s="7">
        <v>8.7946573142427104E-4</v>
      </c>
      <c r="S104" s="7">
        <v>1.1209302696488176E-3</v>
      </c>
      <c r="T104" s="8">
        <v>1.0123482665117119E-3</v>
      </c>
      <c r="V104" s="6">
        <f t="shared" si="10"/>
        <v>-0.61194333002383394</v>
      </c>
      <c r="W104" s="7">
        <f t="shared" si="10"/>
        <v>-2.637004397408101E-2</v>
      </c>
      <c r="X104" s="7">
        <f t="shared" si="10"/>
        <v>-0.28969119601725013</v>
      </c>
      <c r="Y104" s="7">
        <f t="shared" si="10"/>
        <v>0.27089860454293635</v>
      </c>
      <c r="Z104" s="7">
        <f t="shared" si="10"/>
        <v>0.34527604088226993</v>
      </c>
      <c r="AA104" s="8">
        <f t="shared" si="10"/>
        <v>0.31182992458995878</v>
      </c>
    </row>
    <row r="105" spans="1:27" ht="15" thickBot="1" x14ac:dyDescent="0.35">
      <c r="K105" s="9">
        <v>5.9894036583205156E-4</v>
      </c>
      <c r="L105" s="10">
        <v>1.1975378143470499E-2</v>
      </c>
      <c r="M105" s="11">
        <v>3.1287433772864498E-2</v>
      </c>
      <c r="O105" s="9">
        <v>-2.2442768787870244E-3</v>
      </c>
      <c r="P105" s="10">
        <v>-7.9371185827375567E-4</v>
      </c>
      <c r="Q105" s="10">
        <v>7.4865891014733914E-5</v>
      </c>
      <c r="R105" s="10">
        <v>8.2810265620201812E-4</v>
      </c>
      <c r="S105" s="10">
        <v>1.0123482665117119E-3</v>
      </c>
      <c r="T105" s="11">
        <v>1.122671923332316E-3</v>
      </c>
      <c r="V105" s="9">
        <f t="shared" si="10"/>
        <v>-0.69129637795754495</v>
      </c>
      <c r="W105" s="10">
        <f t="shared" si="10"/>
        <v>-0.2444841534272513</v>
      </c>
      <c r="X105" s="10">
        <f t="shared" si="10"/>
        <v>2.3060665901001434E-2</v>
      </c>
      <c r="Y105" s="10">
        <f t="shared" si="10"/>
        <v>0.2550774248135016</v>
      </c>
      <c r="Z105" s="10">
        <f t="shared" si="10"/>
        <v>0.31182992458995878</v>
      </c>
      <c r="AA105" s="11">
        <f t="shared" si="10"/>
        <v>0.34581251608033442</v>
      </c>
    </row>
    <row r="108" spans="1:27" x14ac:dyDescent="0.3">
      <c r="A108" s="13"/>
      <c r="B108" s="13"/>
      <c r="C108" s="13"/>
      <c r="D108" s="13" t="s">
        <v>49</v>
      </c>
      <c r="E108" s="13" t="s">
        <v>50</v>
      </c>
      <c r="F108" s="13" t="s">
        <v>51</v>
      </c>
      <c r="G108" s="13" t="s">
        <v>52</v>
      </c>
      <c r="H108" s="13" t="s">
        <v>53</v>
      </c>
      <c r="I108" s="13" t="s">
        <v>54</v>
      </c>
      <c r="J108" s="13"/>
      <c r="K108" s="13"/>
      <c r="L108" s="13"/>
      <c r="M108" s="13"/>
      <c r="N108" s="13"/>
      <c r="O108" s="13"/>
      <c r="P108" s="13"/>
      <c r="Q108" s="13"/>
    </row>
    <row r="109" spans="1:27" ht="15" thickBot="1" x14ac:dyDescent="0.35">
      <c r="A109" t="s">
        <v>33</v>
      </c>
      <c r="B109" t="s">
        <v>28</v>
      </c>
      <c r="D109" t="s">
        <v>48</v>
      </c>
      <c r="J109" s="13"/>
      <c r="K109" t="s">
        <v>41</v>
      </c>
      <c r="O109" t="s">
        <v>42</v>
      </c>
      <c r="P109" s="13"/>
      <c r="S109" t="s">
        <v>44</v>
      </c>
      <c r="U109" t="s">
        <v>62</v>
      </c>
      <c r="W109" s="61">
        <f>0.5*8/9</f>
        <v>0.44444444444444442</v>
      </c>
    </row>
    <row r="110" spans="1:27" x14ac:dyDescent="0.3">
      <c r="A110" s="14" t="s">
        <v>8</v>
      </c>
      <c r="B110" s="13">
        <f>1/3</f>
        <v>0.33333333333333331</v>
      </c>
      <c r="C110" s="13"/>
      <c r="D110" s="34">
        <f>-(1-B112)/2</f>
        <v>-0.5</v>
      </c>
      <c r="E110" s="35">
        <f>(1-B112)/2</f>
        <v>0.5</v>
      </c>
      <c r="F110" s="35">
        <v>0</v>
      </c>
      <c r="G110" s="35">
        <f>-(1+B112)/2</f>
        <v>-0.5</v>
      </c>
      <c r="H110" s="35">
        <f>(1+B112)/2</f>
        <v>0.5</v>
      </c>
      <c r="I110" s="36">
        <v>0</v>
      </c>
      <c r="J110" s="13"/>
      <c r="K110" s="34">
        <f t="array" ref="K110:M112">MMULT(D110:I112,A7:C12)</f>
        <v>11</v>
      </c>
      <c r="L110" s="35">
        <v>0</v>
      </c>
      <c r="M110" s="36">
        <v>-1</v>
      </c>
      <c r="N110" s="13"/>
      <c r="O110" s="13">
        <f t="array" ref="O110:Q112">MINVERSE(K110:M112)</f>
        <v>9.1428571428571428E-2</v>
      </c>
      <c r="P110" s="13">
        <v>0</v>
      </c>
      <c r="Q110" s="13">
        <v>1.714285714285714E-2</v>
      </c>
      <c r="S110">
        <f t="array" ref="S110">MDETERM(K110:M112)</f>
        <v>583.33333333333337</v>
      </c>
      <c r="U110">
        <f>S110*W109</f>
        <v>259.25925925925924</v>
      </c>
    </row>
    <row r="111" spans="1:27" x14ac:dyDescent="0.3">
      <c r="A111" s="14" t="s">
        <v>9</v>
      </c>
      <c r="B111" s="13">
        <f>1/3</f>
        <v>0.33333333333333331</v>
      </c>
      <c r="C111" s="13"/>
      <c r="D111" s="37">
        <f>-(1-B112)/2</f>
        <v>-0.5</v>
      </c>
      <c r="E111" s="38">
        <v>0</v>
      </c>
      <c r="F111" s="38">
        <f>(1-B112)/2</f>
        <v>0.5</v>
      </c>
      <c r="G111" s="38">
        <f>-(1+B112)/2</f>
        <v>-0.5</v>
      </c>
      <c r="H111" s="38">
        <v>0</v>
      </c>
      <c r="I111" s="39">
        <f>(1+B112)/2</f>
        <v>0.5</v>
      </c>
      <c r="J111" s="13"/>
      <c r="K111" s="37">
        <v>0</v>
      </c>
      <c r="L111" s="38">
        <v>10</v>
      </c>
      <c r="M111" s="39">
        <v>-1</v>
      </c>
      <c r="N111" s="13"/>
      <c r="O111" s="13">
        <v>5.7142857142857158E-4</v>
      </c>
      <c r="P111" s="13">
        <v>0.1</v>
      </c>
      <c r="Q111" s="13">
        <v>1.8857142857142857E-2</v>
      </c>
    </row>
    <row r="112" spans="1:27" ht="15" thickBot="1" x14ac:dyDescent="0.35">
      <c r="A112" s="14" t="s">
        <v>10</v>
      </c>
      <c r="B112" s="64">
        <v>0</v>
      </c>
      <c r="C112" s="13"/>
      <c r="D112" s="40">
        <f>-0.5*(1-B110-B111)</f>
        <v>-0.16666666666666671</v>
      </c>
      <c r="E112" s="41">
        <f>-0.5*B110</f>
        <v>-0.16666666666666666</v>
      </c>
      <c r="F112" s="41">
        <f>-0.5*B111</f>
        <v>-0.16666666666666666</v>
      </c>
      <c r="G112" s="41">
        <f>0.5*(1-B110-B111)</f>
        <v>0.16666666666666671</v>
      </c>
      <c r="H112" s="41">
        <f>0.5*B110</f>
        <v>0.16666666666666666</v>
      </c>
      <c r="I112" s="42">
        <f>0.5*B111</f>
        <v>0.16666666666666666</v>
      </c>
      <c r="J112" s="13"/>
      <c r="K112" s="40">
        <v>-0.33333333333333348</v>
      </c>
      <c r="L112" s="41">
        <v>0</v>
      </c>
      <c r="M112" s="42">
        <v>5.3333333333333339</v>
      </c>
      <c r="N112" s="13"/>
      <c r="O112" s="13">
        <v>5.714285714285716E-3</v>
      </c>
      <c r="P112" s="13">
        <v>0</v>
      </c>
      <c r="Q112" s="13">
        <v>0.18857142857142856</v>
      </c>
    </row>
    <row r="113" spans="1:27" ht="15" thickBot="1" x14ac:dyDescent="0.35">
      <c r="D113" t="s">
        <v>63</v>
      </c>
      <c r="K113" t="s">
        <v>64</v>
      </c>
      <c r="O113" t="s">
        <v>65</v>
      </c>
      <c r="V113" t="s">
        <v>67</v>
      </c>
    </row>
    <row r="114" spans="1:27" x14ac:dyDescent="0.3">
      <c r="A114" s="13" t="s">
        <v>45</v>
      </c>
      <c r="D114">
        <f t="array" ref="D114:D116">MMULT($O$110:$Q$112,D110:D112)</f>
        <v>-4.8571428571428571E-2</v>
      </c>
      <c r="E114">
        <f t="array" ref="E114:E116">MMULT($O$110:$Q$112,E110:E112)</f>
        <v>4.2857142857142858E-2</v>
      </c>
      <c r="F114">
        <f t="array" ref="F114:F116">MMULT($O$110:$Q$112,F110:F112)</f>
        <v>-2.8571428571428567E-3</v>
      </c>
      <c r="G114">
        <f t="array" ref="G114:G116">MMULT($O$110:$Q$112,G110:G112)</f>
        <v>-4.2857142857142858E-2</v>
      </c>
      <c r="H114">
        <f t="array" ref="H114:H116">MMULT($O$110:$Q$112,H110:H112)</f>
        <v>4.8571428571428571E-2</v>
      </c>
      <c r="I114">
        <f t="array" ref="I114:I116">MMULT($O$110:$Q$112,I110:I112)</f>
        <v>2.8571428571428567E-3</v>
      </c>
      <c r="K114" s="3">
        <f t="array" ref="K114:M119">TRANSPOSE(D114:I116)</f>
        <v>-4.8571428571428571E-2</v>
      </c>
      <c r="L114" s="4">
        <v>-5.3428571428571429E-2</v>
      </c>
      <c r="M114" s="5">
        <v>-3.4285714285714294E-2</v>
      </c>
      <c r="O114" s="3">
        <f t="array" ref="O114:T119">MMULT(K114:M119,D114:I116)</f>
        <v>6.3893061224489806E-3</v>
      </c>
      <c r="P114" s="4">
        <v>-9.4938775510204046E-4</v>
      </c>
      <c r="Q114" s="4">
        <v>-1.2871836734693878E-3</v>
      </c>
      <c r="R114" s="4">
        <v>3.6208163265306114E-3</v>
      </c>
      <c r="S114" s="4">
        <v>-3.7178775510204086E-3</v>
      </c>
      <c r="T114" s="5">
        <v>-4.0556734693877553E-3</v>
      </c>
      <c r="V114" s="3">
        <f t="shared" ref="V114:AA114" si="11">O114*$U$110</f>
        <v>1.6564867724867727</v>
      </c>
      <c r="W114" s="4">
        <f t="shared" si="11"/>
        <v>-0.24613756613756602</v>
      </c>
      <c r="X114" s="4">
        <f t="shared" si="11"/>
        <v>-0.33371428571428569</v>
      </c>
      <c r="Y114" s="4">
        <f t="shared" si="11"/>
        <v>0.93873015873015841</v>
      </c>
      <c r="Z114" s="4">
        <f t="shared" si="11"/>
        <v>-0.96389417989417991</v>
      </c>
      <c r="AA114" s="5">
        <f t="shared" si="11"/>
        <v>-1.0514708994708994</v>
      </c>
    </row>
    <row r="115" spans="1:27" x14ac:dyDescent="0.3">
      <c r="A115" s="13" t="s">
        <v>46</v>
      </c>
      <c r="D115">
        <v>-5.3428571428571429E-2</v>
      </c>
      <c r="E115">
        <v>-2.8571428571428567E-3</v>
      </c>
      <c r="F115">
        <v>4.6857142857142861E-2</v>
      </c>
      <c r="G115">
        <v>-4.7142857142857146E-2</v>
      </c>
      <c r="H115">
        <v>3.4285714285714284E-3</v>
      </c>
      <c r="I115">
        <v>5.3142857142857144E-2</v>
      </c>
      <c r="K115" s="6">
        <v>4.2857142857142858E-2</v>
      </c>
      <c r="L115" s="7">
        <v>-2.8571428571428567E-3</v>
      </c>
      <c r="M115" s="8">
        <v>-2.8571428571428567E-2</v>
      </c>
      <c r="O115" s="6">
        <v>-9.4938775510204046E-4</v>
      </c>
      <c r="P115" s="7">
        <v>2.661224489795918E-3</v>
      </c>
      <c r="Q115" s="7">
        <v>6.4163265306122429E-4</v>
      </c>
      <c r="R115" s="7">
        <v>-2.518367346938776E-3</v>
      </c>
      <c r="S115" s="7">
        <v>1.0922448979591838E-3</v>
      </c>
      <c r="T115" s="8">
        <v>-9.2734693877550992E-4</v>
      </c>
      <c r="V115" s="6">
        <f>O115*$U$110</f>
        <v>-0.24613756613756602</v>
      </c>
      <c r="W115" s="7">
        <f t="shared" ref="W115:AA119" si="12">P115*$U$110</f>
        <v>0.68994708994708975</v>
      </c>
      <c r="X115" s="7">
        <f t="shared" si="12"/>
        <v>0.16634920634920627</v>
      </c>
      <c r="Y115" s="7">
        <f t="shared" si="12"/>
        <v>-0.652910052910053</v>
      </c>
      <c r="Z115" s="7">
        <f t="shared" si="12"/>
        <v>0.28317460317460319</v>
      </c>
      <c r="AA115" s="8">
        <f t="shared" si="12"/>
        <v>-0.24042328042328032</v>
      </c>
    </row>
    <row r="116" spans="1:27" x14ac:dyDescent="0.3">
      <c r="A116" s="13" t="s">
        <v>47</v>
      </c>
      <c r="D116">
        <v>-3.4285714285714294E-2</v>
      </c>
      <c r="E116">
        <v>-2.8571428571428567E-2</v>
      </c>
      <c r="F116">
        <v>-3.1428571428571424E-2</v>
      </c>
      <c r="G116">
        <v>2.8571428571428581E-2</v>
      </c>
      <c r="H116">
        <v>3.428571428571428E-2</v>
      </c>
      <c r="I116">
        <v>3.1428571428571424E-2</v>
      </c>
      <c r="K116" s="6">
        <v>-2.8571428571428567E-3</v>
      </c>
      <c r="L116" s="7">
        <v>4.6857142857142861E-2</v>
      </c>
      <c r="M116" s="8">
        <v>-3.1428571428571424E-2</v>
      </c>
      <c r="O116" s="6">
        <v>-1.2871836734693878E-3</v>
      </c>
      <c r="P116" s="7">
        <v>6.4163265306122429E-4</v>
      </c>
      <c r="Q116" s="7">
        <v>3.1915102040816325E-3</v>
      </c>
      <c r="R116" s="7">
        <v>-2.984489795918368E-3</v>
      </c>
      <c r="S116" s="7">
        <v>-1.0556734693877548E-3</v>
      </c>
      <c r="T116" s="8">
        <v>1.4942040816326538E-3</v>
      </c>
      <c r="V116" s="6">
        <f>O116*$U$110</f>
        <v>-0.33371428571428569</v>
      </c>
      <c r="W116" s="7">
        <f t="shared" si="12"/>
        <v>0.16634920634920627</v>
      </c>
      <c r="X116" s="7">
        <f t="shared" si="12"/>
        <v>0.82742857142857129</v>
      </c>
      <c r="Y116" s="7">
        <f t="shared" si="12"/>
        <v>-0.77375661375661386</v>
      </c>
      <c r="Z116" s="7">
        <f t="shared" si="12"/>
        <v>-0.2736931216931216</v>
      </c>
      <c r="AA116" s="8">
        <f t="shared" si="12"/>
        <v>0.38738624338624356</v>
      </c>
    </row>
    <row r="117" spans="1:27" x14ac:dyDescent="0.3">
      <c r="K117" s="6">
        <v>-4.2857142857142858E-2</v>
      </c>
      <c r="L117" s="7">
        <v>-4.7142857142857146E-2</v>
      </c>
      <c r="M117" s="8">
        <v>2.8571428571428581E-2</v>
      </c>
      <c r="O117" s="6">
        <v>3.6208163265306114E-3</v>
      </c>
      <c r="P117" s="7">
        <v>-2.518367346938776E-3</v>
      </c>
      <c r="Q117" s="7">
        <v>-2.984489795918368E-3</v>
      </c>
      <c r="R117" s="7">
        <v>4.8755102040816331E-3</v>
      </c>
      <c r="S117" s="7">
        <v>-1.2636734693877549E-3</v>
      </c>
      <c r="T117" s="8">
        <v>-1.7297959183673471E-3</v>
      </c>
      <c r="V117" s="6">
        <f>O117*$U$110</f>
        <v>0.93873015873015841</v>
      </c>
      <c r="W117" s="7">
        <f t="shared" si="12"/>
        <v>-0.652910052910053</v>
      </c>
      <c r="X117" s="7">
        <f>Q117*$U$110</f>
        <v>-0.77375661375661386</v>
      </c>
      <c r="Y117" s="7">
        <f t="shared" si="12"/>
        <v>1.264021164021164</v>
      </c>
      <c r="Z117" s="7">
        <f t="shared" si="12"/>
        <v>-0.32761904761904753</v>
      </c>
      <c r="AA117" s="8">
        <f t="shared" si="12"/>
        <v>-0.44846560846560846</v>
      </c>
    </row>
    <row r="118" spans="1:27" x14ac:dyDescent="0.3">
      <c r="K118" s="6">
        <v>4.8571428571428571E-2</v>
      </c>
      <c r="L118" s="7">
        <v>3.4285714285714284E-3</v>
      </c>
      <c r="M118" s="8">
        <v>3.428571428571428E-2</v>
      </c>
      <c r="O118" s="6">
        <v>-3.7178775510204086E-3</v>
      </c>
      <c r="P118" s="7">
        <v>1.0922448979591838E-3</v>
      </c>
      <c r="Q118" s="7">
        <v>-1.0556734693877548E-3</v>
      </c>
      <c r="R118" s="7">
        <v>-1.2636734693877549E-3</v>
      </c>
      <c r="S118" s="7">
        <v>3.5464489795918363E-3</v>
      </c>
      <c r="T118" s="8">
        <v>1.3985306122448976E-3</v>
      </c>
      <c r="V118" s="6">
        <f>O118*$U$110</f>
        <v>-0.96389417989417991</v>
      </c>
      <c r="W118" s="7">
        <f t="shared" si="12"/>
        <v>0.28317460317460319</v>
      </c>
      <c r="X118" s="7">
        <f t="shared" si="12"/>
        <v>-0.2736931216931216</v>
      </c>
      <c r="Y118" s="7">
        <f t="shared" si="12"/>
        <v>-0.32761904761904753</v>
      </c>
      <c r="Z118" s="7">
        <f t="shared" si="12"/>
        <v>0.91944973544973529</v>
      </c>
      <c r="AA118" s="8">
        <f t="shared" si="12"/>
        <v>0.36258201058201045</v>
      </c>
    </row>
    <row r="119" spans="1:27" ht="15" thickBot="1" x14ac:dyDescent="0.35">
      <c r="K119" s="9">
        <v>2.8571428571428567E-3</v>
      </c>
      <c r="L119" s="10">
        <v>5.3142857142857144E-2</v>
      </c>
      <c r="M119" s="11">
        <v>3.1428571428571424E-2</v>
      </c>
      <c r="O119" s="9">
        <v>-4.0556734693877553E-3</v>
      </c>
      <c r="P119" s="10">
        <v>-9.2734693877550992E-4</v>
      </c>
      <c r="Q119" s="10">
        <v>1.4942040816326538E-3</v>
      </c>
      <c r="R119" s="10">
        <v>-1.7297959183673471E-3</v>
      </c>
      <c r="S119" s="10">
        <v>1.3985306122448976E-3</v>
      </c>
      <c r="T119" s="11">
        <v>3.8200816326530614E-3</v>
      </c>
      <c r="V119" s="9">
        <f>O119*$U$110</f>
        <v>-1.0514708994708994</v>
      </c>
      <c r="W119" s="10">
        <f t="shared" si="12"/>
        <v>-0.24042328042328032</v>
      </c>
      <c r="X119" s="10">
        <f t="shared" si="12"/>
        <v>0.38738624338624356</v>
      </c>
      <c r="Y119" s="10">
        <f t="shared" si="12"/>
        <v>-0.44846560846560846</v>
      </c>
      <c r="Z119" s="10">
        <f t="shared" si="12"/>
        <v>0.36258201058201045</v>
      </c>
      <c r="AA119" s="11">
        <f t="shared" si="12"/>
        <v>0.99039153439153438</v>
      </c>
    </row>
    <row r="124" spans="1:27" x14ac:dyDescent="0.3">
      <c r="A124" s="13"/>
      <c r="B124" s="13"/>
      <c r="C124" s="13"/>
      <c r="D124" s="13" t="s">
        <v>49</v>
      </c>
      <c r="E124" s="13" t="s">
        <v>50</v>
      </c>
      <c r="F124" s="13" t="s">
        <v>51</v>
      </c>
      <c r="G124" s="13" t="s">
        <v>52</v>
      </c>
      <c r="H124" s="13" t="s">
        <v>53</v>
      </c>
      <c r="I124" s="13" t="s">
        <v>54</v>
      </c>
      <c r="J124" s="13"/>
      <c r="K124" s="13"/>
      <c r="L124" s="13"/>
      <c r="M124" s="13"/>
      <c r="N124" s="13"/>
      <c r="O124" s="13"/>
      <c r="P124" s="13"/>
      <c r="Q124" s="13"/>
    </row>
    <row r="125" spans="1:27" ht="15" thickBot="1" x14ac:dyDescent="0.35">
      <c r="A125" t="s">
        <v>33</v>
      </c>
      <c r="B125" t="s">
        <v>28</v>
      </c>
      <c r="D125" t="s">
        <v>48</v>
      </c>
      <c r="J125" s="13"/>
      <c r="K125" t="s">
        <v>41</v>
      </c>
      <c r="O125" t="s">
        <v>42</v>
      </c>
      <c r="P125" s="13"/>
      <c r="S125" t="s">
        <v>44</v>
      </c>
      <c r="U125" t="s">
        <v>62</v>
      </c>
      <c r="W125" s="61">
        <f>0.5*5/9</f>
        <v>0.27777777777777779</v>
      </c>
    </row>
    <row r="126" spans="1:27" x14ac:dyDescent="0.3">
      <c r="A126" s="14" t="s">
        <v>8</v>
      </c>
      <c r="B126" s="13">
        <f>1/3</f>
        <v>0.33333333333333331</v>
      </c>
      <c r="C126" s="13"/>
      <c r="D126" s="34">
        <f>-(1-B128)/2</f>
        <v>-0.11270150000000001</v>
      </c>
      <c r="E126" s="35">
        <f>(1-B128)/2</f>
        <v>0.11270150000000001</v>
      </c>
      <c r="F126" s="35">
        <v>0</v>
      </c>
      <c r="G126" s="35">
        <f>-(1+B128)/2</f>
        <v>-0.88729849999999999</v>
      </c>
      <c r="H126" s="35">
        <f>(1+B128)/2</f>
        <v>0.88729849999999999</v>
      </c>
      <c r="I126" s="36">
        <v>0</v>
      </c>
      <c r="J126" s="13"/>
      <c r="K126" s="34">
        <f t="array" ref="K126:M128">MMULT(D126:I128,$A$7:$C$12)</f>
        <v>10.225403</v>
      </c>
      <c r="L126" s="35">
        <v>0</v>
      </c>
      <c r="M126" s="36">
        <v>-1.774597</v>
      </c>
      <c r="N126" s="13"/>
      <c r="O126" s="13">
        <f t="array" ref="O126:Q128">MINVERSE(K126:M128)</f>
        <v>9.8868052865563535E-2</v>
      </c>
      <c r="P126" s="13">
        <v>0</v>
      </c>
      <c r="Q126" s="13">
        <v>3.2897053127075707E-2</v>
      </c>
      <c r="S126">
        <f t="array" ref="S126">MDETERM(K126:M128)</f>
        <v>539.43950333333339</v>
      </c>
      <c r="U126">
        <f>S126*W125</f>
        <v>149.84430648148151</v>
      </c>
    </row>
    <row r="127" spans="1:27" x14ac:dyDescent="0.3">
      <c r="A127" s="14" t="s">
        <v>9</v>
      </c>
      <c r="B127" s="13">
        <f>1/3</f>
        <v>0.33333333333333331</v>
      </c>
      <c r="C127" s="13"/>
      <c r="D127" s="37">
        <f>-(1-B128)/2</f>
        <v>-0.11270150000000001</v>
      </c>
      <c r="E127" s="38">
        <v>0</v>
      </c>
      <c r="F127" s="38">
        <f>(1-B128)/2</f>
        <v>0.11270150000000001</v>
      </c>
      <c r="G127" s="38">
        <f>-(1+B128)/2</f>
        <v>-0.88729849999999999</v>
      </c>
      <c r="H127" s="38">
        <v>0</v>
      </c>
      <c r="I127" s="39">
        <f>(1+B128)/2</f>
        <v>0.88729849999999999</v>
      </c>
      <c r="J127" s="13"/>
      <c r="K127" s="37">
        <v>0</v>
      </c>
      <c r="L127" s="38">
        <v>10</v>
      </c>
      <c r="M127" s="39">
        <v>-1.774597</v>
      </c>
      <c r="N127" s="13"/>
      <c r="O127" s="13">
        <v>1.0965684375691905E-3</v>
      </c>
      <c r="P127" s="13">
        <v>0.1</v>
      </c>
      <c r="Q127" s="13">
        <v>3.363856257367593E-2</v>
      </c>
    </row>
    <row r="128" spans="1:27" ht="15" thickBot="1" x14ac:dyDescent="0.35">
      <c r="A128" s="14" t="s">
        <v>10</v>
      </c>
      <c r="B128" s="64">
        <v>0.77459699999999998</v>
      </c>
      <c r="C128" s="13"/>
      <c r="D128" s="40">
        <f>-0.5*(1-B126-B127)</f>
        <v>-0.16666666666666671</v>
      </c>
      <c r="E128" s="41">
        <f>-0.5*B126</f>
        <v>-0.16666666666666666</v>
      </c>
      <c r="F128" s="41">
        <f>-0.5*B127</f>
        <v>-0.16666666666666666</v>
      </c>
      <c r="G128" s="41">
        <f>0.5*(1-B126-B127)</f>
        <v>0.16666666666666671</v>
      </c>
      <c r="H128" s="41">
        <f>0.5*B126</f>
        <v>0.16666666666666666</v>
      </c>
      <c r="I128" s="42">
        <f>0.5*B127</f>
        <v>0.16666666666666666</v>
      </c>
      <c r="J128" s="13"/>
      <c r="K128" s="40">
        <v>-0.33333333333333348</v>
      </c>
      <c r="L128" s="41">
        <v>0</v>
      </c>
      <c r="M128" s="42">
        <v>5.3333333333333339</v>
      </c>
      <c r="N128" s="13"/>
      <c r="O128" s="13">
        <v>6.1792533040977227E-3</v>
      </c>
      <c r="P128" s="13">
        <v>0</v>
      </c>
      <c r="Q128" s="13">
        <v>0.18955606582044221</v>
      </c>
    </row>
    <row r="129" spans="1:27" ht="15" thickBot="1" x14ac:dyDescent="0.35">
      <c r="D129" t="s">
        <v>63</v>
      </c>
      <c r="K129" t="s">
        <v>64</v>
      </c>
      <c r="O129" t="s">
        <v>65</v>
      </c>
      <c r="V129" t="s">
        <v>67</v>
      </c>
    </row>
    <row r="130" spans="1:27" x14ac:dyDescent="0.3">
      <c r="A130" s="13" t="s">
        <v>45</v>
      </c>
      <c r="D130">
        <f t="array" ref="D130:D132">MMULT($O$126:$Q$128,D126:D128)</f>
        <v>-1.6625420047874262E-2</v>
      </c>
      <c r="E130">
        <f t="array" ref="E130:E132">MMULT($O$126:$Q$128,E126:E128)</f>
        <v>5.6597356721823592E-3</v>
      </c>
      <c r="F130">
        <f t="array" ref="F130:F132">MMULT($O$126:$Q$128,F126:F128)</f>
        <v>-5.4828421878459505E-3</v>
      </c>
      <c r="G130">
        <f t="array" ref="G130:G132">MMULT($O$126:$Q$128,G126:G128)</f>
        <v>-8.2242632817689273E-2</v>
      </c>
      <c r="H130">
        <f t="array" ref="H130:H132">MMULT($O$126:$Q$128,H126:H128)</f>
        <v>9.3208317193381171E-2</v>
      </c>
      <c r="I130">
        <f t="array" ref="I130:I132">MMULT($O$126:$Q$128,I126:I128)</f>
        <v>5.4828421878459505E-3</v>
      </c>
      <c r="K130" s="3">
        <f t="array" ref="K130:M135">TRANSPOSE(D130:I132)</f>
        <v>-1.6625420047874262E-2</v>
      </c>
      <c r="L130" s="4">
        <v>-1.7000162003379362E-2</v>
      </c>
      <c r="M130" s="5">
        <v>-3.2289088752992148E-2</v>
      </c>
      <c r="O130" s="3">
        <f t="array" ref="O130:T135">MMULT(K130:M135,D130:I132)</f>
        <v>1.6079953524080069E-3</v>
      </c>
      <c r="P130" s="4">
        <v>9.9672601433853066E-4</v>
      </c>
      <c r="Q130" s="4">
        <v>1.0149691196696896E-3</v>
      </c>
      <c r="R130" s="4">
        <v>1.9539080555850625E-3</v>
      </c>
      <c r="S130" s="4">
        <v>-2.8586132219936633E-3</v>
      </c>
      <c r="T130" s="5">
        <v>-2.7149853200076259E-3</v>
      </c>
      <c r="V130" s="3">
        <f t="shared" ref="V130:V135" si="13">O130*$U$126</f>
        <v>0.24094894840702327</v>
      </c>
      <c r="W130" s="4">
        <f t="shared" ref="W130:AA135" si="14">P130*$U$126</f>
        <v>0.14935371837060832</v>
      </c>
      <c r="X130" s="4">
        <f t="shared" si="14"/>
        <v>0.15208734383702446</v>
      </c>
      <c r="Y130" s="4">
        <f t="shared" si="14"/>
        <v>0.29278199751772371</v>
      </c>
      <c r="Z130" s="4">
        <f t="shared" si="14"/>
        <v>-0.42834691574843381</v>
      </c>
      <c r="AA130" s="5">
        <f t="shared" si="14"/>
        <v>-0.40682509238394587</v>
      </c>
    </row>
    <row r="131" spans="1:27" x14ac:dyDescent="0.3">
      <c r="A131" s="13" t="s">
        <v>46</v>
      </c>
      <c r="D131">
        <v>-1.7000162003379362E-2</v>
      </c>
      <c r="E131">
        <v>-5.4828421878459505E-3</v>
      </c>
      <c r="F131">
        <v>5.6637229043873466E-3</v>
      </c>
      <c r="G131">
        <v>-8.4096406434189835E-2</v>
      </c>
      <c r="H131">
        <v>6.5794106254151406E-3</v>
      </c>
      <c r="I131">
        <v>9.4336277095612653E-2</v>
      </c>
      <c r="K131" s="6">
        <v>5.6597356721823592E-3</v>
      </c>
      <c r="L131" s="7">
        <v>-5.4828421878459505E-3</v>
      </c>
      <c r="M131" s="8">
        <v>-3.0896266520488599E-2</v>
      </c>
      <c r="O131" s="6">
        <v>9.9672601433853066E-4</v>
      </c>
      <c r="P131" s="7">
        <v>1.0166734512408616E-3</v>
      </c>
      <c r="Q131" s="7">
        <v>9.1401105196466776E-4</v>
      </c>
      <c r="R131" s="7">
        <v>-8.1108067252399899E-4</v>
      </c>
      <c r="S131" s="7">
        <v>-6.5403457427079818E-4</v>
      </c>
      <c r="T131" s="8">
        <v>-1.4622952707492628E-3</v>
      </c>
      <c r="V131" s="6">
        <f t="shared" si="13"/>
        <v>0.14935371837060832</v>
      </c>
      <c r="W131" s="7">
        <f t="shared" si="14"/>
        <v>0.15234272821932121</v>
      </c>
      <c r="X131" s="7">
        <f t="shared" si="14"/>
        <v>0.136959352198055</v>
      </c>
      <c r="Y131" s="7">
        <f t="shared" si="14"/>
        <v>-0.12153582087489224</v>
      </c>
      <c r="Z131" s="7">
        <f t="shared" si="14"/>
        <v>-9.8003357196518759E-2</v>
      </c>
      <c r="AA131" s="8">
        <f t="shared" si="14"/>
        <v>-0.21911662071657353</v>
      </c>
    </row>
    <row r="132" spans="1:27" x14ac:dyDescent="0.3">
      <c r="A132" s="13" t="s">
        <v>47</v>
      </c>
      <c r="D132">
        <v>-3.2289088752992148E-2</v>
      </c>
      <c r="E132">
        <v>-3.0896266520488599E-2</v>
      </c>
      <c r="F132">
        <v>-3.1592677636740368E-2</v>
      </c>
      <c r="G132">
        <v>2.6109835448894423E-2</v>
      </c>
      <c r="H132">
        <v>3.7075519824586324E-2</v>
      </c>
      <c r="I132">
        <v>3.1592677636740368E-2</v>
      </c>
      <c r="K132" s="6">
        <v>-5.4828421878459505E-3</v>
      </c>
      <c r="L132" s="7">
        <v>5.6637229043873466E-3</v>
      </c>
      <c r="M132" s="8">
        <v>-3.1592677636740368E-2</v>
      </c>
      <c r="O132" s="6">
        <v>1.0149691196696896E-3</v>
      </c>
      <c r="P132" s="7">
        <v>9.1401105196466776E-4</v>
      </c>
      <c r="Q132" s="7">
        <v>1.0602365958535002E-3</v>
      </c>
      <c r="R132" s="7">
        <v>-8.5025498093089548E-4</v>
      </c>
      <c r="S132" s="7">
        <v>-1.6450974811421967E-3</v>
      </c>
      <c r="T132" s="8">
        <v>-4.9386430541476553E-4</v>
      </c>
      <c r="V132" s="6">
        <f t="shared" si="13"/>
        <v>0.15208734383702446</v>
      </c>
      <c r="W132" s="7">
        <f t="shared" si="14"/>
        <v>0.136959352198055</v>
      </c>
      <c r="X132" s="7">
        <f t="shared" si="14"/>
        <v>0.15887041741195454</v>
      </c>
      <c r="Y132" s="7">
        <f t="shared" si="14"/>
        <v>-0.12740586795001532</v>
      </c>
      <c r="Z132" s="7">
        <f t="shared" si="14"/>
        <v>-0.24650849115618456</v>
      </c>
      <c r="AA132" s="8">
        <f t="shared" si="14"/>
        <v>-7.4002754340834115E-2</v>
      </c>
    </row>
    <row r="133" spans="1:27" x14ac:dyDescent="0.3">
      <c r="K133" s="6">
        <v>-8.2242632817689273E-2</v>
      </c>
      <c r="L133" s="7">
        <v>-8.4096406434189835E-2</v>
      </c>
      <c r="M133" s="8">
        <v>2.6109835448894423E-2</v>
      </c>
      <c r="O133" s="6">
        <v>1.9539080555850625E-3</v>
      </c>
      <c r="P133" s="7">
        <v>-8.1108067252399899E-4</v>
      </c>
      <c r="Q133" s="7">
        <v>-8.5025498093089548E-4</v>
      </c>
      <c r="R133" s="7">
        <v>1.451777973509805E-2</v>
      </c>
      <c r="S133" s="7">
        <v>-7.2509664747401276E-3</v>
      </c>
      <c r="T133" s="8">
        <v>-7.5593856624880879E-3</v>
      </c>
      <c r="V133" s="6">
        <f t="shared" si="13"/>
        <v>0.29278199751772371</v>
      </c>
      <c r="W133" s="7">
        <f t="shared" si="14"/>
        <v>-0.12153582087489224</v>
      </c>
      <c r="X133" s="7">
        <f t="shared" si="14"/>
        <v>-0.12740586795001532</v>
      </c>
      <c r="Y133" s="7">
        <f t="shared" si="14"/>
        <v>2.1754066360566737</v>
      </c>
      <c r="Z133" s="7">
        <f t="shared" si="14"/>
        <v>-1.0865160427279072</v>
      </c>
      <c r="AA133" s="8">
        <f t="shared" si="14"/>
        <v>-1.1327309020215821</v>
      </c>
    </row>
    <row r="134" spans="1:27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6">
        <v>9.3208317193381171E-2</v>
      </c>
      <c r="L134" s="7">
        <v>6.5794106254151406E-3</v>
      </c>
      <c r="M134" s="8">
        <v>3.7075519824586324E-2</v>
      </c>
      <c r="O134" s="6">
        <v>-2.8586132219936633E-3</v>
      </c>
      <c r="P134" s="7">
        <v>-6.5403457427079818E-4</v>
      </c>
      <c r="Q134" s="7">
        <v>-1.6450974811421967E-3</v>
      </c>
      <c r="R134" s="7">
        <v>-7.2509664747401276E-3</v>
      </c>
      <c r="S134" s="7">
        <v>1.0105673208463076E-2</v>
      </c>
      <c r="T134" s="8">
        <v>2.3030385436837103E-3</v>
      </c>
      <c r="V134" s="6">
        <f t="shared" si="13"/>
        <v>-0.42834691574843381</v>
      </c>
      <c r="W134" s="7">
        <f t="shared" si="14"/>
        <v>-9.8003357196518759E-2</v>
      </c>
      <c r="X134" s="7">
        <f t="shared" si="14"/>
        <v>-0.24650849115618456</v>
      </c>
      <c r="Y134" s="7">
        <f t="shared" si="14"/>
        <v>-1.0865160427279072</v>
      </c>
      <c r="Z134" s="7">
        <f t="shared" si="14"/>
        <v>1.5142775934506376</v>
      </c>
      <c r="AA134" s="8">
        <f t="shared" si="14"/>
        <v>0.34509721337840671</v>
      </c>
    </row>
    <row r="135" spans="1:27" ht="15" thickBot="1" x14ac:dyDescent="0.35">
      <c r="J135" s="13"/>
      <c r="K135" s="9">
        <v>5.4828421878459505E-3</v>
      </c>
      <c r="L135" s="10">
        <v>9.4336277095612653E-2</v>
      </c>
      <c r="M135" s="11">
        <v>3.1592677636740368E-2</v>
      </c>
      <c r="O135" s="9">
        <v>-2.7149853200076259E-3</v>
      </c>
      <c r="P135" s="10">
        <v>-1.4622952707492628E-3</v>
      </c>
      <c r="Q135" s="10">
        <v>-4.9386430541476553E-4</v>
      </c>
      <c r="R135" s="10">
        <v>-7.5593856624880879E-3</v>
      </c>
      <c r="S135" s="10">
        <v>2.3030385436837103E-3</v>
      </c>
      <c r="T135" s="11">
        <v>9.9274920149760304E-3</v>
      </c>
      <c r="V135" s="9">
        <f t="shared" si="13"/>
        <v>-0.40682509238394587</v>
      </c>
      <c r="W135" s="10">
        <f t="shared" si="14"/>
        <v>-0.21911662071657353</v>
      </c>
      <c r="X135" s="10">
        <f t="shared" si="14"/>
        <v>-7.4002754340834115E-2</v>
      </c>
      <c r="Y135" s="10">
        <f t="shared" si="14"/>
        <v>-1.1327309020215821</v>
      </c>
      <c r="Z135" s="10">
        <f t="shared" si="14"/>
        <v>0.34509721337840671</v>
      </c>
      <c r="AA135" s="11">
        <f t="shared" si="14"/>
        <v>1.4875781560845287</v>
      </c>
    </row>
    <row r="136" spans="1:27" x14ac:dyDescent="0.3">
      <c r="A136" s="13"/>
    </row>
    <row r="137" spans="1:27" x14ac:dyDescent="0.3">
      <c r="A137" s="13"/>
      <c r="V137">
        <f t="shared" ref="V137:AA137" si="15">SUM(V100+V114+V130)</f>
        <v>6.5476762100145445</v>
      </c>
      <c r="W137">
        <f t="shared" si="15"/>
        <v>-1.5388510743897199</v>
      </c>
      <c r="X137">
        <f t="shared" si="15"/>
        <v>-2.2484404265534641</v>
      </c>
      <c r="Y137">
        <f t="shared" si="15"/>
        <v>1.3933920864074782</v>
      </c>
      <c r="Z137">
        <f t="shared" si="15"/>
        <v>-2.0041844256664478</v>
      </c>
      <c r="AA137">
        <f t="shared" si="15"/>
        <v>-2.1495923698123902</v>
      </c>
    </row>
    <row r="138" spans="1:27" x14ac:dyDescent="0.3">
      <c r="A138" s="13"/>
      <c r="V138">
        <f t="shared" ref="V138:AA142" si="16">SUM(V101+V115+V131)</f>
        <v>-1.5388510743897199</v>
      </c>
      <c r="W138">
        <f t="shared" si="16"/>
        <v>2.7855366223253406</v>
      </c>
      <c r="X138">
        <f t="shared" si="16"/>
        <v>0.52934377149725531</v>
      </c>
      <c r="Y138">
        <f t="shared" si="16"/>
        <v>-1.230806466869774</v>
      </c>
      <c r="Z138">
        <f t="shared" si="16"/>
        <v>0.15880120200400344</v>
      </c>
      <c r="AA138">
        <f t="shared" si="16"/>
        <v>-0.70402405456710515</v>
      </c>
    </row>
    <row r="139" spans="1:27" x14ac:dyDescent="0.3">
      <c r="V139">
        <f t="shared" si="16"/>
        <v>-2.2484404265534641</v>
      </c>
      <c r="W139">
        <f t="shared" si="16"/>
        <v>0.52934377149725531</v>
      </c>
      <c r="X139">
        <f t="shared" si="16"/>
        <v>3.6746284742915223</v>
      </c>
      <c r="Y139">
        <f t="shared" si="16"/>
        <v>-1.482083165315168</v>
      </c>
      <c r="Z139">
        <f t="shared" si="16"/>
        <v>-0.80989280886655624</v>
      </c>
      <c r="AA139">
        <f t="shared" si="16"/>
        <v>0.33644415494641089</v>
      </c>
    </row>
    <row r="140" spans="1:27" x14ac:dyDescent="0.3">
      <c r="V140">
        <f t="shared" si="16"/>
        <v>1.3933920864074782</v>
      </c>
      <c r="W140">
        <f t="shared" si="16"/>
        <v>-1.230806466869774</v>
      </c>
      <c r="X140">
        <f t="shared" si="16"/>
        <v>-1.482083165315168</v>
      </c>
      <c r="Y140">
        <f t="shared" si="16"/>
        <v>3.7888531172551714</v>
      </c>
      <c r="Z140">
        <f t="shared" si="16"/>
        <v>-1.1432364858040185</v>
      </c>
      <c r="AA140">
        <f t="shared" si="16"/>
        <v>-1.3261190856736889</v>
      </c>
    </row>
    <row r="141" spans="1:27" x14ac:dyDescent="0.3">
      <c r="V141">
        <f t="shared" si="16"/>
        <v>-2.0041844256664478</v>
      </c>
      <c r="W141">
        <f t="shared" si="16"/>
        <v>0.15880120200400344</v>
      </c>
      <c r="X141">
        <f t="shared" si="16"/>
        <v>-0.80989280886655624</v>
      </c>
      <c r="Y141">
        <f t="shared" si="16"/>
        <v>-1.1432364858040185</v>
      </c>
      <c r="Z141">
        <f t="shared" si="16"/>
        <v>2.7790033697826431</v>
      </c>
      <c r="AA141">
        <f t="shared" si="16"/>
        <v>1.019509148550376</v>
      </c>
    </row>
    <row r="142" spans="1:27" x14ac:dyDescent="0.3">
      <c r="V142">
        <f t="shared" si="16"/>
        <v>-2.1495923698123902</v>
      </c>
      <c r="W142">
        <f t="shared" si="16"/>
        <v>-0.70402405456710515</v>
      </c>
      <c r="X142">
        <f t="shared" si="16"/>
        <v>0.33644415494641089</v>
      </c>
      <c r="Y142">
        <f t="shared" si="16"/>
        <v>-1.3261190856736889</v>
      </c>
      <c r="Z142">
        <f t="shared" si="16"/>
        <v>1.019509148550376</v>
      </c>
      <c r="AA142">
        <f t="shared" si="16"/>
        <v>2.8237822065563973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9"/>
  <sheetViews>
    <sheetView workbookViewId="0">
      <selection activeCell="D18" sqref="D18"/>
    </sheetView>
  </sheetViews>
  <sheetFormatPr defaultRowHeight="14.4" x14ac:dyDescent="0.3"/>
  <cols>
    <col min="15" max="15" width="9.44140625" bestFit="1" customWidth="1"/>
  </cols>
  <sheetData>
    <row r="1" spans="1:18" x14ac:dyDescent="0.3">
      <c r="H1" t="s">
        <v>0</v>
      </c>
      <c r="I1" t="s">
        <v>1</v>
      </c>
    </row>
    <row r="2" spans="1:18" x14ac:dyDescent="0.3">
      <c r="A2" t="s">
        <v>121</v>
      </c>
      <c r="H2">
        <v>10</v>
      </c>
      <c r="I2">
        <v>10</v>
      </c>
    </row>
    <row r="3" spans="1:18" x14ac:dyDescent="0.3">
      <c r="H3">
        <v>20</v>
      </c>
      <c r="I3">
        <v>15</v>
      </c>
    </row>
    <row r="4" spans="1:18" x14ac:dyDescent="0.3">
      <c r="A4" t="s">
        <v>122</v>
      </c>
      <c r="H4">
        <v>25</v>
      </c>
      <c r="I4">
        <v>30</v>
      </c>
    </row>
    <row r="5" spans="1:18" x14ac:dyDescent="0.3">
      <c r="H5">
        <v>8</v>
      </c>
      <c r="I5">
        <v>25</v>
      </c>
    </row>
    <row r="6" spans="1:18" x14ac:dyDescent="0.3">
      <c r="A6" t="s">
        <v>123</v>
      </c>
    </row>
    <row r="8" spans="1:18" x14ac:dyDescent="0.3">
      <c r="A8" t="s">
        <v>124</v>
      </c>
    </row>
    <row r="10" spans="1:18" ht="15" thickBot="1" x14ac:dyDescent="0.35">
      <c r="A10" t="s">
        <v>33</v>
      </c>
      <c r="B10" t="s">
        <v>28</v>
      </c>
      <c r="D10" t="s">
        <v>127</v>
      </c>
      <c r="I10" t="s">
        <v>41</v>
      </c>
      <c r="J10" s="13"/>
      <c r="L10" t="s">
        <v>42</v>
      </c>
      <c r="O10" t="s">
        <v>44</v>
      </c>
      <c r="P10" s="13"/>
      <c r="Q10" t="s">
        <v>14</v>
      </c>
      <c r="R10" t="s">
        <v>62</v>
      </c>
    </row>
    <row r="11" spans="1:18" x14ac:dyDescent="0.3">
      <c r="A11" s="14" t="s">
        <v>8</v>
      </c>
      <c r="B11" s="13">
        <v>0.5</v>
      </c>
      <c r="C11" s="13"/>
      <c r="D11" s="34">
        <f>-(1-B12)/4</f>
        <v>-0.125</v>
      </c>
      <c r="E11" s="35">
        <f>(1-B12)/4</f>
        <v>0.125</v>
      </c>
      <c r="F11" s="35">
        <f>(1+B12)/4</f>
        <v>0.375</v>
      </c>
      <c r="G11" s="36">
        <f>-(1+B12)/4</f>
        <v>-0.375</v>
      </c>
      <c r="H11" s="38"/>
      <c r="I11" s="38">
        <f t="array" ref="I11:J12">MMULT(D11:G12,H2:I5)</f>
        <v>7.625</v>
      </c>
      <c r="J11" s="13">
        <v>2.5</v>
      </c>
      <c r="L11">
        <f t="array" ref="L11:M12">MINVERSE(I11:J12)</f>
        <v>0.14117647058823529</v>
      </c>
      <c r="M11">
        <v>-4.7058823529411764E-2</v>
      </c>
      <c r="N11" s="13"/>
      <c r="O11" s="71">
        <f>MDETERM(I11:J12)</f>
        <v>53.125</v>
      </c>
      <c r="P11" s="71"/>
      <c r="Q11" s="71">
        <v>1</v>
      </c>
      <c r="R11">
        <f>Q11*O11</f>
        <v>53.125</v>
      </c>
    </row>
    <row r="12" spans="1:18" ht="15" thickBot="1" x14ac:dyDescent="0.35">
      <c r="A12" s="14" t="s">
        <v>9</v>
      </c>
      <c r="B12" s="13">
        <v>0.5</v>
      </c>
      <c r="C12" s="13"/>
      <c r="D12" s="40">
        <f>-(1-B11)/4</f>
        <v>-0.125</v>
      </c>
      <c r="E12" s="41">
        <f>-(1+B11)/4</f>
        <v>-0.375</v>
      </c>
      <c r="F12" s="41">
        <f>(1+B11)/4</f>
        <v>0.375</v>
      </c>
      <c r="G12" s="42">
        <f>(1-B11)/4</f>
        <v>0.125</v>
      </c>
      <c r="H12" s="38"/>
      <c r="I12" s="38">
        <v>1.625</v>
      </c>
      <c r="J12" s="13">
        <v>7.5</v>
      </c>
      <c r="L12">
        <v>-3.0588235294117642E-2</v>
      </c>
      <c r="M12">
        <v>0.14352941176470588</v>
      </c>
      <c r="N12" s="13"/>
      <c r="O12" s="71"/>
      <c r="P12" s="71"/>
      <c r="Q12" s="71"/>
    </row>
    <row r="14" spans="1:18" x14ac:dyDescent="0.3">
      <c r="D14" t="s">
        <v>128</v>
      </c>
    </row>
    <row r="15" spans="1:18" x14ac:dyDescent="0.3">
      <c r="D15">
        <f>(1-B12)*(2*B11+B12)/4</f>
        <v>0.1875</v>
      </c>
    </row>
    <row r="16" spans="1:18" x14ac:dyDescent="0.3">
      <c r="D16">
        <f>(1-B11)*(2*B12+B11)/4</f>
        <v>0.1875</v>
      </c>
    </row>
    <row r="17" spans="3:6" x14ac:dyDescent="0.3">
      <c r="F17" t="s">
        <v>131</v>
      </c>
    </row>
    <row r="18" spans="3:6" x14ac:dyDescent="0.3">
      <c r="C18" s="13" t="s">
        <v>129</v>
      </c>
      <c r="D18" s="16">
        <f t="array" ref="D18:D19">MMULT(L11:M12,D15:D16)</f>
        <v>1.7647058823529412E-2</v>
      </c>
      <c r="E18">
        <f>15/850</f>
        <v>1.7647058823529412E-2</v>
      </c>
      <c r="F18">
        <f>D18-E18</f>
        <v>0</v>
      </c>
    </row>
    <row r="19" spans="3:6" x14ac:dyDescent="0.3">
      <c r="C19" s="13" t="s">
        <v>130</v>
      </c>
      <c r="D19" s="16">
        <v>2.1176470588235293E-2</v>
      </c>
      <c r="E19">
        <f>18/850</f>
        <v>2.1176470588235293E-2</v>
      </c>
      <c r="F19">
        <f>D19-E19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165"/>
  <sheetViews>
    <sheetView topLeftCell="A2" workbookViewId="0">
      <selection activeCell="T64" sqref="T64:X69"/>
    </sheetView>
  </sheetViews>
  <sheetFormatPr defaultRowHeight="14.4" x14ac:dyDescent="0.3"/>
  <sheetData>
    <row r="2" spans="1:11" ht="15" thickBot="1" x14ac:dyDescent="0.35">
      <c r="A2" t="s">
        <v>11</v>
      </c>
      <c r="B2" t="s">
        <v>12</v>
      </c>
      <c r="C2" t="s">
        <v>13</v>
      </c>
    </row>
    <row r="3" spans="1:11" ht="18.600000000000001" thickBot="1" x14ac:dyDescent="0.4">
      <c r="A3" s="18">
        <f>'!V пенты через якобиан'!B3</f>
        <v>0</v>
      </c>
      <c r="B3" s="18">
        <f>'!V пенты через якобиан'!C3</f>
        <v>0</v>
      </c>
      <c r="C3" s="18">
        <f>'!V пенты через якобиан'!D3</f>
        <v>0</v>
      </c>
      <c r="K3" s="66"/>
    </row>
    <row r="4" spans="1:11" ht="15" thickBot="1" x14ac:dyDescent="0.35">
      <c r="A4" s="18">
        <f>'!V пенты через якобиан'!B4</f>
        <v>12</v>
      </c>
      <c r="B4" s="18">
        <f>'!V пенты через якобиан'!C4</f>
        <v>0</v>
      </c>
      <c r="C4" s="18">
        <f>'!V пенты через якобиан'!D4</f>
        <v>0</v>
      </c>
    </row>
    <row r="5" spans="1:11" ht="15" thickBot="1" x14ac:dyDescent="0.35">
      <c r="A5" s="18">
        <f>'!V пенты через якобиан'!B5</f>
        <v>0</v>
      </c>
      <c r="B5" s="18">
        <f>'!V пенты через якобиан'!C5</f>
        <v>10</v>
      </c>
      <c r="C5" s="18">
        <f>'!V пенты через якобиан'!D5</f>
        <v>0</v>
      </c>
    </row>
    <row r="6" spans="1:11" ht="15" thickBot="1" x14ac:dyDescent="0.35">
      <c r="A6" s="18">
        <f>'!V пенты через якобиан'!B6</f>
        <v>0</v>
      </c>
      <c r="B6" s="18">
        <f>'!V пенты через якобиан'!C6</f>
        <v>0</v>
      </c>
      <c r="C6" s="18">
        <f>'!V пенты через якобиан'!D6</f>
        <v>12</v>
      </c>
    </row>
    <row r="7" spans="1:11" ht="15" thickBot="1" x14ac:dyDescent="0.35">
      <c r="A7" s="18">
        <f>'!V пенты через якобиан'!B7</f>
        <v>10</v>
      </c>
      <c r="B7" s="18">
        <f>'!V пенты через якобиан'!C7</f>
        <v>0</v>
      </c>
      <c r="C7" s="18">
        <f>'!V пенты через якобиан'!D7</f>
        <v>10</v>
      </c>
    </row>
    <row r="8" spans="1:11" x14ac:dyDescent="0.3">
      <c r="A8" s="18">
        <f>'!V пенты через якобиан'!B8</f>
        <v>0</v>
      </c>
      <c r="B8" s="18">
        <f>'!V пенты через якобиан'!C8</f>
        <v>10</v>
      </c>
      <c r="C8" s="18">
        <f>'!V пенты через якобиан'!D8</f>
        <v>10</v>
      </c>
    </row>
    <row r="19" spans="1:25" x14ac:dyDescent="0.3">
      <c r="A19" t="s">
        <v>69</v>
      </c>
      <c r="K19" t="s">
        <v>95</v>
      </c>
    </row>
    <row r="20" spans="1:25" x14ac:dyDescent="0.3">
      <c r="A20" s="13"/>
      <c r="B20" s="13"/>
      <c r="C20" s="13"/>
      <c r="J20" s="13"/>
      <c r="K20" s="13"/>
      <c r="L20" s="13"/>
      <c r="M20" s="13"/>
    </row>
    <row r="21" spans="1:25" ht="15" thickBot="1" x14ac:dyDescent="0.35">
      <c r="A21" t="s">
        <v>33</v>
      </c>
      <c r="B21" t="s">
        <v>28</v>
      </c>
      <c r="D21" t="s">
        <v>48</v>
      </c>
      <c r="J21" s="13"/>
      <c r="K21" t="s">
        <v>41</v>
      </c>
      <c r="O21" t="s">
        <v>70</v>
      </c>
      <c r="Q21" t="s">
        <v>71</v>
      </c>
    </row>
    <row r="22" spans="1:25" x14ac:dyDescent="0.3">
      <c r="A22" s="14" t="s">
        <v>8</v>
      </c>
      <c r="B22" s="13">
        <f>1/3</f>
        <v>0.33333333333333331</v>
      </c>
      <c r="C22" s="13"/>
      <c r="D22" s="34">
        <f>-(1-B24)/2</f>
        <v>-0.5</v>
      </c>
      <c r="E22" s="35">
        <f>(1-B24)/2</f>
        <v>0.5</v>
      </c>
      <c r="F22" s="35">
        <v>0</v>
      </c>
      <c r="G22" s="35">
        <f>-(1+B24)/2</f>
        <v>-0.5</v>
      </c>
      <c r="H22" s="35">
        <f>(1+B24)/2</f>
        <v>0.5</v>
      </c>
      <c r="I22" s="36">
        <v>0</v>
      </c>
      <c r="J22" s="13"/>
      <c r="K22" s="34">
        <f t="array" ref="K22:M24">MMULT(D22:I24,A3:C8)</f>
        <v>11</v>
      </c>
      <c r="L22" s="35">
        <v>0</v>
      </c>
      <c r="M22" s="36">
        <v>-1</v>
      </c>
      <c r="O22">
        <f>MDETERM(K22:M24)</f>
        <v>583.33333333333337</v>
      </c>
      <c r="Q22">
        <f>O22*2*0.5</f>
        <v>583.33333333333337</v>
      </c>
    </row>
    <row r="23" spans="1:25" x14ac:dyDescent="0.3">
      <c r="A23" s="14" t="s">
        <v>9</v>
      </c>
      <c r="B23" s="13">
        <f>1/3</f>
        <v>0.33333333333333331</v>
      </c>
      <c r="C23" s="13"/>
      <c r="D23" s="37">
        <f>-(1-B24)/2</f>
        <v>-0.5</v>
      </c>
      <c r="E23" s="38">
        <v>0</v>
      </c>
      <c r="F23" s="38">
        <f>(1-B24)/2</f>
        <v>0.5</v>
      </c>
      <c r="G23" s="38">
        <f>-(1+B24)/2</f>
        <v>-0.5</v>
      </c>
      <c r="H23" s="38">
        <v>0</v>
      </c>
      <c r="I23" s="39">
        <f>(1+B24)/2</f>
        <v>0.5</v>
      </c>
      <c r="J23" s="13"/>
      <c r="K23" s="37">
        <v>0</v>
      </c>
      <c r="L23" s="38">
        <v>10</v>
      </c>
      <c r="M23" s="39">
        <v>-1</v>
      </c>
    </row>
    <row r="24" spans="1:25" ht="15" thickBot="1" x14ac:dyDescent="0.35">
      <c r="A24" s="14" t="s">
        <v>10</v>
      </c>
      <c r="B24" s="13">
        <v>0</v>
      </c>
      <c r="C24" s="13"/>
      <c r="D24" s="40">
        <f>-0.5*(1-B22-B23)</f>
        <v>-0.16666666666666671</v>
      </c>
      <c r="E24" s="41">
        <f>-0.5*B22</f>
        <v>-0.16666666666666666</v>
      </c>
      <c r="F24" s="41">
        <f>-0.5*B23</f>
        <v>-0.16666666666666666</v>
      </c>
      <c r="G24" s="41">
        <f>0.5*(1-B22-B23)</f>
        <v>0.16666666666666671</v>
      </c>
      <c r="H24" s="41">
        <f>0.5*B22</f>
        <v>0.16666666666666666</v>
      </c>
      <c r="I24" s="42">
        <f>0.5*B23</f>
        <v>0.16666666666666666</v>
      </c>
      <c r="J24" s="13"/>
      <c r="K24" s="40">
        <v>-0.33333333333333348</v>
      </c>
      <c r="L24" s="41">
        <v>0</v>
      </c>
      <c r="M24" s="42">
        <v>5.3333333333333339</v>
      </c>
    </row>
    <row r="26" spans="1:25" x14ac:dyDescent="0.3">
      <c r="D26" s="13" t="s">
        <v>49</v>
      </c>
      <c r="E26" s="13" t="s">
        <v>50</v>
      </c>
      <c r="F26" s="13" t="s">
        <v>51</v>
      </c>
      <c r="G26" s="13" t="s">
        <v>52</v>
      </c>
      <c r="H26" s="13" t="s">
        <v>53</v>
      </c>
      <c r="I26" s="13" t="s">
        <v>54</v>
      </c>
      <c r="K26" s="13" t="s">
        <v>72</v>
      </c>
      <c r="M26" s="13" t="s">
        <v>73</v>
      </c>
      <c r="T26" s="13" t="s">
        <v>74</v>
      </c>
    </row>
    <row r="27" spans="1:25" x14ac:dyDescent="0.3">
      <c r="D27">
        <f>(1-B22-B23)*(1-B24)/2</f>
        <v>0.16666666666666671</v>
      </c>
      <c r="E27">
        <f>B22*(1-B24)/2</f>
        <v>0.16666666666666666</v>
      </c>
      <c r="F27">
        <f>B23*(1-B24)/2</f>
        <v>0.16666666666666666</v>
      </c>
      <c r="G27">
        <f>(1-B22-B23)*(1+B24)/2</f>
        <v>0.16666666666666671</v>
      </c>
      <c r="H27">
        <f>B22*(1+B24)/2</f>
        <v>0.16666666666666666</v>
      </c>
      <c r="I27">
        <f>B23*(1+B24)/2</f>
        <v>0.16666666666666666</v>
      </c>
      <c r="K27">
        <f t="array" ref="K27:K32">TRANSPOSE(D27:I27)</f>
        <v>0.16666666666666671</v>
      </c>
      <c r="M27">
        <f t="array" ref="M27:R32">MMULT(K27:K32,D27:I27)</f>
        <v>2.7777777777777794E-2</v>
      </c>
      <c r="N27">
        <v>2.7777777777777783E-2</v>
      </c>
      <c r="O27">
        <v>2.7777777777777783E-2</v>
      </c>
      <c r="P27">
        <v>2.7777777777777794E-2</v>
      </c>
      <c r="Q27">
        <v>2.7777777777777783E-2</v>
      </c>
      <c r="R27">
        <v>2.7777777777777783E-2</v>
      </c>
      <c r="T27">
        <f t="array" ref="T27">M27*$Q$22</f>
        <v>16.203703703703713</v>
      </c>
      <c r="U27">
        <f t="shared" ref="U27:Y32" si="0">N27*$Q$22</f>
        <v>16.203703703703709</v>
      </c>
      <c r="V27">
        <f t="shared" si="0"/>
        <v>16.203703703703709</v>
      </c>
      <c r="W27">
        <f t="shared" si="0"/>
        <v>16.203703703703713</v>
      </c>
      <c r="X27">
        <f t="shared" si="0"/>
        <v>16.203703703703709</v>
      </c>
      <c r="Y27">
        <f t="shared" si="0"/>
        <v>16.203703703703709</v>
      </c>
    </row>
    <row r="28" spans="1:25" x14ac:dyDescent="0.3">
      <c r="K28">
        <v>0.16666666666666666</v>
      </c>
      <c r="M28">
        <v>2.7777777777777783E-2</v>
      </c>
      <c r="N28">
        <v>2.7777777777777776E-2</v>
      </c>
      <c r="O28">
        <v>2.7777777777777776E-2</v>
      </c>
      <c r="P28">
        <v>2.7777777777777783E-2</v>
      </c>
      <c r="Q28">
        <v>2.7777777777777776E-2</v>
      </c>
      <c r="R28">
        <v>2.7777777777777776E-2</v>
      </c>
      <c r="T28">
        <f>M28*$Q$22</f>
        <v>16.203703703703709</v>
      </c>
      <c r="U28">
        <f t="shared" si="0"/>
        <v>16.203703703703702</v>
      </c>
      <c r="V28">
        <f t="shared" si="0"/>
        <v>16.203703703703702</v>
      </c>
      <c r="W28">
        <f t="shared" si="0"/>
        <v>16.203703703703709</v>
      </c>
      <c r="X28">
        <f t="shared" si="0"/>
        <v>16.203703703703702</v>
      </c>
      <c r="Y28">
        <f t="shared" si="0"/>
        <v>16.203703703703702</v>
      </c>
    </row>
    <row r="29" spans="1:25" x14ac:dyDescent="0.3">
      <c r="D29">
        <f>SUM(D27:I27)</f>
        <v>1</v>
      </c>
      <c r="K29">
        <v>0.16666666666666666</v>
      </c>
      <c r="M29">
        <v>2.7777777777777783E-2</v>
      </c>
      <c r="N29">
        <v>2.7777777777777776E-2</v>
      </c>
      <c r="O29">
        <v>2.7777777777777776E-2</v>
      </c>
      <c r="P29">
        <v>2.7777777777777783E-2</v>
      </c>
      <c r="Q29">
        <v>2.7777777777777776E-2</v>
      </c>
      <c r="R29">
        <v>2.7777777777777776E-2</v>
      </c>
      <c r="T29">
        <f>M29*$Q$22</f>
        <v>16.203703703703709</v>
      </c>
      <c r="U29">
        <f t="shared" si="0"/>
        <v>16.203703703703702</v>
      </c>
      <c r="V29">
        <f t="shared" si="0"/>
        <v>16.203703703703702</v>
      </c>
      <c r="W29">
        <f t="shared" si="0"/>
        <v>16.203703703703709</v>
      </c>
      <c r="X29">
        <f t="shared" si="0"/>
        <v>16.203703703703702</v>
      </c>
      <c r="Y29">
        <f t="shared" si="0"/>
        <v>16.203703703703702</v>
      </c>
    </row>
    <row r="30" spans="1:25" x14ac:dyDescent="0.3">
      <c r="K30">
        <v>0.16666666666666671</v>
      </c>
      <c r="M30">
        <v>2.7777777777777794E-2</v>
      </c>
      <c r="N30">
        <v>2.7777777777777783E-2</v>
      </c>
      <c r="O30">
        <v>2.7777777777777783E-2</v>
      </c>
      <c r="P30">
        <v>2.7777777777777794E-2</v>
      </c>
      <c r="Q30">
        <v>2.7777777777777783E-2</v>
      </c>
      <c r="R30">
        <v>2.7777777777777783E-2</v>
      </c>
      <c r="T30">
        <f>M30*$Q$22</f>
        <v>16.203703703703713</v>
      </c>
      <c r="U30">
        <f t="shared" si="0"/>
        <v>16.203703703703709</v>
      </c>
      <c r="V30">
        <f t="shared" si="0"/>
        <v>16.203703703703709</v>
      </c>
      <c r="W30">
        <f t="shared" si="0"/>
        <v>16.203703703703713</v>
      </c>
      <c r="X30">
        <f t="shared" si="0"/>
        <v>16.203703703703709</v>
      </c>
      <c r="Y30">
        <f t="shared" si="0"/>
        <v>16.203703703703709</v>
      </c>
    </row>
    <row r="31" spans="1:25" x14ac:dyDescent="0.3">
      <c r="K31">
        <v>0.16666666666666666</v>
      </c>
      <c r="M31">
        <v>2.7777777777777783E-2</v>
      </c>
      <c r="N31">
        <v>2.7777777777777776E-2</v>
      </c>
      <c r="O31">
        <v>2.7777777777777776E-2</v>
      </c>
      <c r="P31">
        <v>2.7777777777777783E-2</v>
      </c>
      <c r="Q31">
        <v>2.7777777777777776E-2</v>
      </c>
      <c r="R31">
        <v>2.7777777777777776E-2</v>
      </c>
      <c r="T31">
        <f>M31*$Q$22</f>
        <v>16.203703703703709</v>
      </c>
      <c r="U31">
        <f t="shared" si="0"/>
        <v>16.203703703703702</v>
      </c>
      <c r="V31">
        <f t="shared" si="0"/>
        <v>16.203703703703702</v>
      </c>
      <c r="W31">
        <f t="shared" si="0"/>
        <v>16.203703703703709</v>
      </c>
      <c r="X31">
        <f t="shared" si="0"/>
        <v>16.203703703703702</v>
      </c>
      <c r="Y31">
        <f t="shared" si="0"/>
        <v>16.203703703703702</v>
      </c>
    </row>
    <row r="32" spans="1:25" x14ac:dyDescent="0.3">
      <c r="K32">
        <v>0.16666666666666666</v>
      </c>
      <c r="M32">
        <v>2.7777777777777783E-2</v>
      </c>
      <c r="N32">
        <v>2.7777777777777776E-2</v>
      </c>
      <c r="O32">
        <v>2.7777777777777776E-2</v>
      </c>
      <c r="P32">
        <v>2.7777777777777783E-2</v>
      </c>
      <c r="Q32">
        <v>2.7777777777777776E-2</v>
      </c>
      <c r="R32">
        <v>2.7777777777777776E-2</v>
      </c>
      <c r="T32">
        <f>M32*$Q$22</f>
        <v>16.203703703703709</v>
      </c>
      <c r="U32">
        <f t="shared" si="0"/>
        <v>16.203703703703702</v>
      </c>
      <c r="V32">
        <f t="shared" si="0"/>
        <v>16.203703703703702</v>
      </c>
      <c r="W32">
        <f t="shared" si="0"/>
        <v>16.203703703703709</v>
      </c>
      <c r="X32">
        <f t="shared" si="0"/>
        <v>16.203703703703702</v>
      </c>
      <c r="Y32">
        <f t="shared" si="0"/>
        <v>16.203703703703702</v>
      </c>
    </row>
    <row r="34" spans="1:25" x14ac:dyDescent="0.3">
      <c r="A34" t="s">
        <v>75</v>
      </c>
      <c r="T34" s="72"/>
    </row>
    <row r="36" spans="1:25" ht="15" thickBot="1" x14ac:dyDescent="0.35">
      <c r="A36" t="s">
        <v>33</v>
      </c>
      <c r="B36" t="s">
        <v>28</v>
      </c>
      <c r="D36" t="s">
        <v>48</v>
      </c>
      <c r="J36" s="13"/>
      <c r="K36" t="s">
        <v>41</v>
      </c>
      <c r="O36" t="s">
        <v>70</v>
      </c>
      <c r="Q36" t="s">
        <v>71</v>
      </c>
    </row>
    <row r="37" spans="1:25" x14ac:dyDescent="0.3">
      <c r="A37" s="14" t="s">
        <v>8</v>
      </c>
      <c r="B37" s="13">
        <f>1/3</f>
        <v>0.33333333333333331</v>
      </c>
      <c r="C37" s="13"/>
      <c r="D37" s="34">
        <f>-(1-B39)/2</f>
        <v>-0.21129999999999999</v>
      </c>
      <c r="E37" s="35">
        <f>(1-B39)/2</f>
        <v>0.21129999999999999</v>
      </c>
      <c r="F37" s="35">
        <v>0</v>
      </c>
      <c r="G37" s="35">
        <f>-(1+B39)/2</f>
        <v>-0.78869999999999996</v>
      </c>
      <c r="H37" s="35">
        <f>(1+B39)/2</f>
        <v>0.78869999999999996</v>
      </c>
      <c r="I37" s="36">
        <v>0</v>
      </c>
      <c r="J37" s="13"/>
      <c r="K37" s="34">
        <f t="array" ref="K37:M39">MMULT(D37:I39,A3:C8)</f>
        <v>10.422599999999999</v>
      </c>
      <c r="L37" s="35">
        <v>0</v>
      </c>
      <c r="M37" s="36">
        <v>-1.5773999999999999</v>
      </c>
      <c r="O37">
        <f>MDETERM(K37:M39)</f>
        <v>550.61400000000003</v>
      </c>
      <c r="Q37">
        <f>O37*0.5*1</f>
        <v>275.30700000000002</v>
      </c>
    </row>
    <row r="38" spans="1:25" x14ac:dyDescent="0.3">
      <c r="A38" s="14" t="s">
        <v>9</v>
      </c>
      <c r="B38" s="13">
        <f>1/3</f>
        <v>0.33333333333333331</v>
      </c>
      <c r="C38" s="13"/>
      <c r="D38" s="37">
        <f>-(1-B39)/2</f>
        <v>-0.21129999999999999</v>
      </c>
      <c r="E38" s="38">
        <v>0</v>
      </c>
      <c r="F38" s="38">
        <f>(1-B39)/2</f>
        <v>0.21129999999999999</v>
      </c>
      <c r="G38" s="38">
        <f>-(1+B39)/2</f>
        <v>-0.78869999999999996</v>
      </c>
      <c r="H38" s="38">
        <v>0</v>
      </c>
      <c r="I38" s="39">
        <f>(1+B39)/2</f>
        <v>0.78869999999999996</v>
      </c>
      <c r="J38" s="13"/>
      <c r="K38" s="37">
        <v>0</v>
      </c>
      <c r="L38" s="38">
        <v>10</v>
      </c>
      <c r="M38" s="39">
        <v>-1.5773999999999999</v>
      </c>
    </row>
    <row r="39" spans="1:25" ht="15" thickBot="1" x14ac:dyDescent="0.35">
      <c r="A39" s="14" t="s">
        <v>10</v>
      </c>
      <c r="B39" s="13">
        <v>0.57740000000000002</v>
      </c>
      <c r="C39" s="13"/>
      <c r="D39" s="40">
        <f>-0.5*(1-B37-B38)</f>
        <v>-0.16666666666666671</v>
      </c>
      <c r="E39" s="41">
        <f>-0.5*B37</f>
        <v>-0.16666666666666666</v>
      </c>
      <c r="F39" s="41">
        <f>-0.5*B38</f>
        <v>-0.16666666666666666</v>
      </c>
      <c r="G39" s="41">
        <f>0.5*(1-B37-B38)</f>
        <v>0.16666666666666671</v>
      </c>
      <c r="H39" s="41">
        <f>0.5*B37</f>
        <v>0.16666666666666666</v>
      </c>
      <c r="I39" s="42">
        <f>0.5*B38</f>
        <v>0.16666666666666666</v>
      </c>
      <c r="J39" s="13"/>
      <c r="K39" s="40">
        <v>-0.33333333333333348</v>
      </c>
      <c r="L39" s="41">
        <v>0</v>
      </c>
      <c r="M39" s="42">
        <v>5.3333333333333339</v>
      </c>
    </row>
    <row r="41" spans="1:25" x14ac:dyDescent="0.3">
      <c r="D41" s="13" t="s">
        <v>49</v>
      </c>
      <c r="E41" s="13" t="s">
        <v>50</v>
      </c>
      <c r="F41" s="13" t="s">
        <v>51</v>
      </c>
      <c r="G41" s="13" t="s">
        <v>52</v>
      </c>
      <c r="H41" s="13" t="s">
        <v>53</v>
      </c>
      <c r="I41" s="13" t="s">
        <v>54</v>
      </c>
      <c r="K41" s="13" t="s">
        <v>72</v>
      </c>
      <c r="M41" s="13" t="s">
        <v>73</v>
      </c>
      <c r="T41" s="13" t="s">
        <v>74</v>
      </c>
    </row>
    <row r="42" spans="1:25" x14ac:dyDescent="0.3">
      <c r="D42">
        <f>(1-B37-B38)*(1-B39)/2</f>
        <v>7.0433333333333348E-2</v>
      </c>
      <c r="E42">
        <f>B37*(1-B39)/2</f>
        <v>7.043333333333332E-2</v>
      </c>
      <c r="F42">
        <f>B38*(1-B39)/2</f>
        <v>7.043333333333332E-2</v>
      </c>
      <c r="G42">
        <f>(1-B37-B38)*(1+B39)/2</f>
        <v>0.26290000000000008</v>
      </c>
      <c r="H42">
        <f>B37*(1+B39)/2</f>
        <v>0.26289999999999997</v>
      </c>
      <c r="I42">
        <f>B38*(1+B39)/2</f>
        <v>0.26289999999999997</v>
      </c>
      <c r="K42">
        <f t="array" ref="K42:K47">TRANSPOSE(D42:I42)</f>
        <v>7.0433333333333348E-2</v>
      </c>
      <c r="M42">
        <f t="array" ref="M42:R47">MMULT(K42:K47,D42:I42)</f>
        <v>4.9608544444444463E-3</v>
      </c>
      <c r="N42">
        <v>4.9608544444444446E-3</v>
      </c>
      <c r="O42">
        <v>4.9608544444444446E-3</v>
      </c>
      <c r="P42">
        <v>1.8516923333333341E-2</v>
      </c>
      <c r="Q42">
        <v>1.8516923333333334E-2</v>
      </c>
      <c r="R42">
        <v>1.8516923333333334E-2</v>
      </c>
      <c r="T42">
        <f t="shared" ref="T42:T47" si="1">M42*$Q$37</f>
        <v>1.3657579545366672</v>
      </c>
      <c r="U42">
        <f t="shared" ref="U42:Y47" si="2">N42*$Q$37</f>
        <v>1.3657579545366667</v>
      </c>
      <c r="V42">
        <f t="shared" si="2"/>
        <v>1.3657579545366667</v>
      </c>
      <c r="W42">
        <f t="shared" si="2"/>
        <v>5.0978386121300021</v>
      </c>
      <c r="X42">
        <f t="shared" si="2"/>
        <v>5.0978386121300003</v>
      </c>
      <c r="Y42">
        <f t="shared" si="2"/>
        <v>5.0978386121300003</v>
      </c>
    </row>
    <row r="43" spans="1:25" x14ac:dyDescent="0.3">
      <c r="K43">
        <v>7.043333333333332E-2</v>
      </c>
      <c r="M43">
        <v>4.9608544444444446E-3</v>
      </c>
      <c r="N43">
        <v>4.9608544444444428E-3</v>
      </c>
      <c r="O43">
        <v>4.9608544444444428E-3</v>
      </c>
      <c r="P43">
        <v>1.8516923333333334E-2</v>
      </c>
      <c r="Q43">
        <v>1.8516923333333327E-2</v>
      </c>
      <c r="R43">
        <v>1.8516923333333327E-2</v>
      </c>
      <c r="T43">
        <f t="shared" si="1"/>
        <v>1.3657579545366667</v>
      </c>
      <c r="U43">
        <f t="shared" si="2"/>
        <v>1.3657579545366663</v>
      </c>
      <c r="V43">
        <f t="shared" si="2"/>
        <v>1.3657579545366663</v>
      </c>
      <c r="W43">
        <f t="shared" si="2"/>
        <v>5.0978386121300003</v>
      </c>
      <c r="X43">
        <f t="shared" si="2"/>
        <v>5.0978386121299986</v>
      </c>
      <c r="Y43">
        <f t="shared" si="2"/>
        <v>5.0978386121299986</v>
      </c>
    </row>
    <row r="44" spans="1:25" x14ac:dyDescent="0.3">
      <c r="D44">
        <f>SUM(D42:I42)</f>
        <v>1</v>
      </c>
      <c r="K44">
        <v>7.043333333333332E-2</v>
      </c>
      <c r="M44">
        <v>4.9608544444444446E-3</v>
      </c>
      <c r="N44">
        <v>4.9608544444444428E-3</v>
      </c>
      <c r="O44">
        <v>4.9608544444444428E-3</v>
      </c>
      <c r="P44">
        <v>1.8516923333333334E-2</v>
      </c>
      <c r="Q44">
        <v>1.8516923333333327E-2</v>
      </c>
      <c r="R44">
        <v>1.8516923333333327E-2</v>
      </c>
      <c r="T44">
        <f t="shared" si="1"/>
        <v>1.3657579545366667</v>
      </c>
      <c r="U44">
        <f t="shared" si="2"/>
        <v>1.3657579545366663</v>
      </c>
      <c r="V44">
        <f t="shared" si="2"/>
        <v>1.3657579545366663</v>
      </c>
      <c r="W44">
        <f t="shared" si="2"/>
        <v>5.0978386121300003</v>
      </c>
      <c r="X44">
        <f t="shared" si="2"/>
        <v>5.0978386121299986</v>
      </c>
      <c r="Y44">
        <f t="shared" si="2"/>
        <v>5.0978386121299986</v>
      </c>
    </row>
    <row r="45" spans="1:25" x14ac:dyDescent="0.3">
      <c r="K45">
        <v>0.26290000000000008</v>
      </c>
      <c r="M45">
        <v>1.8516923333333341E-2</v>
      </c>
      <c r="N45">
        <v>1.8516923333333334E-2</v>
      </c>
      <c r="O45">
        <v>1.8516923333333334E-2</v>
      </c>
      <c r="P45">
        <v>6.9116410000000045E-2</v>
      </c>
      <c r="Q45">
        <v>6.9116410000000017E-2</v>
      </c>
      <c r="R45">
        <v>6.9116410000000017E-2</v>
      </c>
      <c r="T45">
        <f t="shared" si="1"/>
        <v>5.0978386121300021</v>
      </c>
      <c r="U45">
        <f t="shared" si="2"/>
        <v>5.0978386121300003</v>
      </c>
      <c r="V45">
        <f t="shared" si="2"/>
        <v>5.0978386121300003</v>
      </c>
      <c r="W45">
        <f t="shared" si="2"/>
        <v>19.028231487870013</v>
      </c>
      <c r="X45">
        <f t="shared" si="2"/>
        <v>19.028231487870006</v>
      </c>
      <c r="Y45">
        <f t="shared" si="2"/>
        <v>19.028231487870006</v>
      </c>
    </row>
    <row r="46" spans="1:25" x14ac:dyDescent="0.3">
      <c r="K46">
        <v>0.26289999999999997</v>
      </c>
      <c r="M46">
        <v>1.8516923333333334E-2</v>
      </c>
      <c r="N46">
        <v>1.8516923333333327E-2</v>
      </c>
      <c r="O46">
        <v>1.8516923333333327E-2</v>
      </c>
      <c r="P46">
        <v>6.9116410000000017E-2</v>
      </c>
      <c r="Q46">
        <v>6.9116409999999989E-2</v>
      </c>
      <c r="R46">
        <v>6.9116409999999989E-2</v>
      </c>
      <c r="T46">
        <f t="shared" si="1"/>
        <v>5.0978386121300003</v>
      </c>
      <c r="U46">
        <f t="shared" si="2"/>
        <v>5.0978386121299986</v>
      </c>
      <c r="V46">
        <f t="shared" si="2"/>
        <v>5.0978386121299986</v>
      </c>
      <c r="W46">
        <f t="shared" si="2"/>
        <v>19.028231487870006</v>
      </c>
      <c r="X46">
        <f t="shared" si="2"/>
        <v>19.028231487869999</v>
      </c>
      <c r="Y46">
        <f t="shared" si="2"/>
        <v>19.028231487869999</v>
      </c>
    </row>
    <row r="47" spans="1:25" x14ac:dyDescent="0.3">
      <c r="K47">
        <v>0.26289999999999997</v>
      </c>
      <c r="M47">
        <v>1.8516923333333334E-2</v>
      </c>
      <c r="N47">
        <v>1.8516923333333327E-2</v>
      </c>
      <c r="O47">
        <v>1.8516923333333327E-2</v>
      </c>
      <c r="P47">
        <v>6.9116410000000017E-2</v>
      </c>
      <c r="Q47">
        <v>6.9116409999999989E-2</v>
      </c>
      <c r="R47">
        <v>6.9116409999999989E-2</v>
      </c>
      <c r="T47">
        <f t="shared" si="1"/>
        <v>5.0978386121300003</v>
      </c>
      <c r="U47">
        <f t="shared" si="2"/>
        <v>5.0978386121299986</v>
      </c>
      <c r="V47">
        <f t="shared" si="2"/>
        <v>5.0978386121299986</v>
      </c>
      <c r="W47">
        <f t="shared" si="2"/>
        <v>19.028231487870006</v>
      </c>
      <c r="X47">
        <f t="shared" si="2"/>
        <v>19.028231487869999</v>
      </c>
      <c r="Y47">
        <f t="shared" si="2"/>
        <v>19.028231487869999</v>
      </c>
    </row>
    <row r="50" spans="1:25" ht="15" thickBot="1" x14ac:dyDescent="0.35">
      <c r="A50" t="s">
        <v>33</v>
      </c>
      <c r="B50" t="s">
        <v>28</v>
      </c>
      <c r="D50" t="s">
        <v>48</v>
      </c>
      <c r="J50" s="13"/>
      <c r="K50" t="s">
        <v>41</v>
      </c>
      <c r="O50" t="s">
        <v>70</v>
      </c>
      <c r="Q50" t="s">
        <v>71</v>
      </c>
    </row>
    <row r="51" spans="1:25" x14ac:dyDescent="0.3">
      <c r="A51" s="14" t="s">
        <v>8</v>
      </c>
      <c r="B51" s="13">
        <f>1/3</f>
        <v>0.33333333333333331</v>
      </c>
      <c r="C51" s="13"/>
      <c r="D51" s="34">
        <f>-(1-B53)/2</f>
        <v>-0.78869999999999996</v>
      </c>
      <c r="E51" s="35">
        <f>(1-B53)/2</f>
        <v>0.78869999999999996</v>
      </c>
      <c r="F51" s="35">
        <v>0</v>
      </c>
      <c r="G51" s="35">
        <f>-(1+B53)/2</f>
        <v>-0.21129999999999999</v>
      </c>
      <c r="H51" s="35">
        <f>(1+B53)/2</f>
        <v>0.21129999999999999</v>
      </c>
      <c r="I51" s="36">
        <v>0</v>
      </c>
      <c r="J51" s="13"/>
      <c r="K51" s="34">
        <f t="array" ref="K51:M53">MMULT(D51:I53,A3:C8)</f>
        <v>11.577399999999999</v>
      </c>
      <c r="L51" s="35">
        <v>0</v>
      </c>
      <c r="M51" s="36">
        <v>-0.42259999999999964</v>
      </c>
      <c r="O51">
        <f>MDETERM(K51:M53)</f>
        <v>616.05266666666671</v>
      </c>
      <c r="Q51">
        <f>O51*0.5*1</f>
        <v>308.02633333333335</v>
      </c>
    </row>
    <row r="52" spans="1:25" x14ac:dyDescent="0.3">
      <c r="A52" s="14" t="s">
        <v>9</v>
      </c>
      <c r="B52" s="13">
        <f>1/3</f>
        <v>0.33333333333333331</v>
      </c>
      <c r="C52" s="13"/>
      <c r="D52" s="37">
        <f>-(1-B53)/2</f>
        <v>-0.78869999999999996</v>
      </c>
      <c r="E52" s="38">
        <v>0</v>
      </c>
      <c r="F52" s="38">
        <f>(1-B53)/2</f>
        <v>0.78869999999999996</v>
      </c>
      <c r="G52" s="38">
        <f>-(1+B53)/2</f>
        <v>-0.21129999999999999</v>
      </c>
      <c r="H52" s="38">
        <v>0</v>
      </c>
      <c r="I52" s="39">
        <f>(1+B53)/2</f>
        <v>0.21129999999999999</v>
      </c>
      <c r="J52" s="13"/>
      <c r="K52" s="37">
        <v>0</v>
      </c>
      <c r="L52" s="38">
        <v>10</v>
      </c>
      <c r="M52" s="39">
        <v>-0.42259999999999964</v>
      </c>
    </row>
    <row r="53" spans="1:25" ht="15" thickBot="1" x14ac:dyDescent="0.35">
      <c r="A53" s="14" t="s">
        <v>10</v>
      </c>
      <c r="B53" s="13">
        <v>-0.57740000000000002</v>
      </c>
      <c r="C53" s="13"/>
      <c r="D53" s="40">
        <f>-0.5*(1-B51-B52)</f>
        <v>-0.16666666666666671</v>
      </c>
      <c r="E53" s="41">
        <f>-0.5*B51</f>
        <v>-0.16666666666666666</v>
      </c>
      <c r="F53" s="41">
        <f>-0.5*B52</f>
        <v>-0.16666666666666666</v>
      </c>
      <c r="G53" s="41">
        <f>0.5*(1-B51-B52)</f>
        <v>0.16666666666666671</v>
      </c>
      <c r="H53" s="41">
        <f>0.5*B51</f>
        <v>0.16666666666666666</v>
      </c>
      <c r="I53" s="42">
        <f>0.5*B52</f>
        <v>0.16666666666666666</v>
      </c>
      <c r="J53" s="13"/>
      <c r="K53" s="40">
        <v>-0.33333333333333348</v>
      </c>
      <c r="L53" s="41">
        <v>0</v>
      </c>
      <c r="M53" s="42">
        <v>5.3333333333333339</v>
      </c>
    </row>
    <row r="55" spans="1:25" x14ac:dyDescent="0.3">
      <c r="D55" s="13" t="s">
        <v>49</v>
      </c>
      <c r="E55" s="13" t="s">
        <v>50</v>
      </c>
      <c r="F55" s="13" t="s">
        <v>51</v>
      </c>
      <c r="G55" s="13" t="s">
        <v>52</v>
      </c>
      <c r="H55" s="13" t="s">
        <v>53</v>
      </c>
      <c r="I55" s="13" t="s">
        <v>54</v>
      </c>
      <c r="K55" s="13" t="s">
        <v>72</v>
      </c>
      <c r="M55" s="13" t="s">
        <v>73</v>
      </c>
      <c r="T55" s="13" t="s">
        <v>74</v>
      </c>
    </row>
    <row r="56" spans="1:25" x14ac:dyDescent="0.3">
      <c r="D56">
        <f>(1-B51-B52)*(1-B53)/2</f>
        <v>0.26290000000000008</v>
      </c>
      <c r="E56">
        <f>B51*(1-B53)/2</f>
        <v>0.26289999999999997</v>
      </c>
      <c r="F56">
        <f>B52*(1-B53)/2</f>
        <v>0.26289999999999997</v>
      </c>
      <c r="G56">
        <f>(1-B51-B52)*(1+B53)/2</f>
        <v>7.0433333333333348E-2</v>
      </c>
      <c r="H56">
        <f>B51*(1+B53)/2</f>
        <v>7.043333333333332E-2</v>
      </c>
      <c r="I56">
        <f>B52*(1+B53)/2</f>
        <v>7.043333333333332E-2</v>
      </c>
      <c r="K56">
        <f t="array" ref="K56:K61">TRANSPOSE(D56:I56)</f>
        <v>0.26290000000000008</v>
      </c>
      <c r="M56">
        <f t="array" ref="M56:R61">MMULT(K56:K61,D56:I56)</f>
        <v>6.9116410000000045E-2</v>
      </c>
      <c r="N56">
        <v>6.9116410000000017E-2</v>
      </c>
      <c r="O56">
        <v>6.9116410000000017E-2</v>
      </c>
      <c r="P56">
        <v>1.8516923333333341E-2</v>
      </c>
      <c r="Q56">
        <v>1.8516923333333334E-2</v>
      </c>
      <c r="R56">
        <v>1.8516923333333334E-2</v>
      </c>
      <c r="T56">
        <f t="shared" ref="T56:T61" si="3">M56*$Q$51</f>
        <v>21.28967434546335</v>
      </c>
      <c r="U56">
        <f t="shared" ref="U56:Y61" si="4">N56*$Q$51</f>
        <v>21.289674345463339</v>
      </c>
      <c r="V56">
        <f t="shared" si="4"/>
        <v>21.289674345463339</v>
      </c>
      <c r="W56">
        <f t="shared" si="4"/>
        <v>5.7036999989811141</v>
      </c>
      <c r="X56">
        <f t="shared" si="4"/>
        <v>5.7036999989811115</v>
      </c>
      <c r="Y56">
        <f t="shared" si="4"/>
        <v>5.7036999989811115</v>
      </c>
    </row>
    <row r="57" spans="1:25" x14ac:dyDescent="0.3">
      <c r="K57">
        <v>0.26289999999999997</v>
      </c>
      <c r="M57">
        <v>6.9116410000000017E-2</v>
      </c>
      <c r="N57">
        <v>6.9116409999999989E-2</v>
      </c>
      <c r="O57">
        <v>6.9116409999999989E-2</v>
      </c>
      <c r="P57">
        <v>1.8516923333333334E-2</v>
      </c>
      <c r="Q57">
        <v>1.8516923333333327E-2</v>
      </c>
      <c r="R57">
        <v>1.8516923333333327E-2</v>
      </c>
      <c r="T57">
        <f t="shared" si="3"/>
        <v>21.289674345463339</v>
      </c>
      <c r="U57">
        <f t="shared" si="4"/>
        <v>21.289674345463332</v>
      </c>
      <c r="V57">
        <f t="shared" si="4"/>
        <v>21.289674345463332</v>
      </c>
      <c r="W57">
        <f t="shared" si="4"/>
        <v>5.7036999989811115</v>
      </c>
      <c r="X57">
        <f t="shared" si="4"/>
        <v>5.7036999989811097</v>
      </c>
      <c r="Y57">
        <f t="shared" si="4"/>
        <v>5.7036999989811097</v>
      </c>
    </row>
    <row r="58" spans="1:25" x14ac:dyDescent="0.3">
      <c r="K58">
        <v>0.26289999999999997</v>
      </c>
      <c r="M58">
        <v>6.9116410000000017E-2</v>
      </c>
      <c r="N58">
        <v>6.9116409999999989E-2</v>
      </c>
      <c r="O58">
        <v>6.9116409999999989E-2</v>
      </c>
      <c r="P58">
        <v>1.8516923333333334E-2</v>
      </c>
      <c r="Q58">
        <v>1.8516923333333327E-2</v>
      </c>
      <c r="R58">
        <v>1.8516923333333327E-2</v>
      </c>
      <c r="T58">
        <f t="shared" si="3"/>
        <v>21.289674345463339</v>
      </c>
      <c r="U58">
        <f t="shared" si="4"/>
        <v>21.289674345463332</v>
      </c>
      <c r="V58">
        <f t="shared" si="4"/>
        <v>21.289674345463332</v>
      </c>
      <c r="W58">
        <f t="shared" si="4"/>
        <v>5.7036999989811115</v>
      </c>
      <c r="X58">
        <f t="shared" si="4"/>
        <v>5.7036999989811097</v>
      </c>
      <c r="Y58">
        <f t="shared" si="4"/>
        <v>5.7036999989811097</v>
      </c>
    </row>
    <row r="59" spans="1:25" x14ac:dyDescent="0.3">
      <c r="D59">
        <f>SUM(D56:I56)</f>
        <v>1</v>
      </c>
      <c r="K59">
        <v>7.0433333333333348E-2</v>
      </c>
      <c r="M59">
        <v>1.8516923333333341E-2</v>
      </c>
      <c r="N59">
        <v>1.8516923333333334E-2</v>
      </c>
      <c r="O59">
        <v>1.8516923333333334E-2</v>
      </c>
      <c r="P59">
        <v>4.9608544444444463E-3</v>
      </c>
      <c r="Q59">
        <v>4.9608544444444446E-3</v>
      </c>
      <c r="R59">
        <v>4.9608544444444446E-3</v>
      </c>
      <c r="T59">
        <f t="shared" si="3"/>
        <v>5.7036999989811141</v>
      </c>
      <c r="U59">
        <f t="shared" si="4"/>
        <v>5.7036999989811115</v>
      </c>
      <c r="V59">
        <f t="shared" si="4"/>
        <v>5.7036999989811115</v>
      </c>
      <c r="W59">
        <f t="shared" si="4"/>
        <v>1.5280738047225932</v>
      </c>
      <c r="X59">
        <f t="shared" si="4"/>
        <v>1.5280738047225928</v>
      </c>
      <c r="Y59">
        <f t="shared" si="4"/>
        <v>1.5280738047225928</v>
      </c>
    </row>
    <row r="60" spans="1:25" x14ac:dyDescent="0.3">
      <c r="K60">
        <v>7.043333333333332E-2</v>
      </c>
      <c r="M60">
        <v>1.8516923333333334E-2</v>
      </c>
      <c r="N60">
        <v>1.8516923333333327E-2</v>
      </c>
      <c r="O60">
        <v>1.8516923333333327E-2</v>
      </c>
      <c r="P60">
        <v>4.9608544444444446E-3</v>
      </c>
      <c r="Q60">
        <v>4.9608544444444428E-3</v>
      </c>
      <c r="R60">
        <v>4.9608544444444428E-3</v>
      </c>
      <c r="T60">
        <f t="shared" si="3"/>
        <v>5.7036999989811115</v>
      </c>
      <c r="U60">
        <f t="shared" si="4"/>
        <v>5.7036999989811097</v>
      </c>
      <c r="V60">
        <f t="shared" si="4"/>
        <v>5.7036999989811097</v>
      </c>
      <c r="W60">
        <f t="shared" si="4"/>
        <v>1.5280738047225928</v>
      </c>
      <c r="X60">
        <f t="shared" si="4"/>
        <v>1.5280738047225921</v>
      </c>
      <c r="Y60">
        <f t="shared" si="4"/>
        <v>1.5280738047225921</v>
      </c>
    </row>
    <row r="61" spans="1:25" x14ac:dyDescent="0.3">
      <c r="K61">
        <v>7.043333333333332E-2</v>
      </c>
      <c r="M61">
        <v>1.8516923333333334E-2</v>
      </c>
      <c r="N61">
        <v>1.8516923333333327E-2</v>
      </c>
      <c r="O61">
        <v>1.8516923333333327E-2</v>
      </c>
      <c r="P61">
        <v>4.9608544444444446E-3</v>
      </c>
      <c r="Q61">
        <v>4.9608544444444428E-3</v>
      </c>
      <c r="R61">
        <v>4.9608544444444428E-3</v>
      </c>
      <c r="T61">
        <f t="shared" si="3"/>
        <v>5.7036999989811115</v>
      </c>
      <c r="U61">
        <f t="shared" si="4"/>
        <v>5.7036999989811097</v>
      </c>
      <c r="V61">
        <f t="shared" si="4"/>
        <v>5.7036999989811097</v>
      </c>
      <c r="W61">
        <f t="shared" si="4"/>
        <v>1.5280738047225928</v>
      </c>
      <c r="X61">
        <f t="shared" si="4"/>
        <v>1.5280738047225921</v>
      </c>
      <c r="Y61">
        <f t="shared" si="4"/>
        <v>1.5280738047225921</v>
      </c>
    </row>
    <row r="64" spans="1:25" x14ac:dyDescent="0.3">
      <c r="S64" t="s">
        <v>66</v>
      </c>
      <c r="T64" t="s">
        <v>107</v>
      </c>
      <c r="U64">
        <f t="shared" ref="T64:Y64" si="5">U42+U56</f>
        <v>22.655432300000005</v>
      </c>
      <c r="V64">
        <f t="shared" si="5"/>
        <v>22.655432300000005</v>
      </c>
      <c r="W64">
        <f t="shared" si="5"/>
        <v>10.801538611111116</v>
      </c>
      <c r="X64">
        <f t="shared" si="5"/>
        <v>10.801538611111113</v>
      </c>
      <c r="Y64">
        <f t="shared" si="5"/>
        <v>10.801538611111113</v>
      </c>
    </row>
    <row r="65" spans="1:25" x14ac:dyDescent="0.3">
      <c r="T65">
        <f t="shared" ref="T65:Y69" si="6">T43+T57</f>
        <v>22.655432300000005</v>
      </c>
      <c r="U65">
        <f t="shared" si="6"/>
        <v>22.655432299999998</v>
      </c>
      <c r="V65">
        <f t="shared" si="6"/>
        <v>22.655432299999998</v>
      </c>
      <c r="W65">
        <f t="shared" si="6"/>
        <v>10.801538611111113</v>
      </c>
      <c r="X65">
        <f t="shared" si="6"/>
        <v>10.801538611111109</v>
      </c>
      <c r="Y65">
        <f t="shared" si="6"/>
        <v>10.801538611111109</v>
      </c>
    </row>
    <row r="66" spans="1:25" x14ac:dyDescent="0.3">
      <c r="T66">
        <f t="shared" si="6"/>
        <v>22.655432300000005</v>
      </c>
      <c r="U66">
        <f t="shared" si="6"/>
        <v>22.655432299999998</v>
      </c>
      <c r="V66">
        <f t="shared" si="6"/>
        <v>22.655432299999998</v>
      </c>
      <c r="W66">
        <f t="shared" si="6"/>
        <v>10.801538611111113</v>
      </c>
      <c r="X66">
        <f t="shared" si="6"/>
        <v>10.801538611111109</v>
      </c>
      <c r="Y66">
        <f t="shared" si="6"/>
        <v>10.801538611111109</v>
      </c>
    </row>
    <row r="67" spans="1:25" x14ac:dyDescent="0.3">
      <c r="T67">
        <f t="shared" si="6"/>
        <v>10.801538611111116</v>
      </c>
      <c r="U67">
        <f t="shared" si="6"/>
        <v>10.801538611111113</v>
      </c>
      <c r="V67">
        <f t="shared" si="6"/>
        <v>10.801538611111113</v>
      </c>
      <c r="W67">
        <f t="shared" si="6"/>
        <v>20.556305292592604</v>
      </c>
      <c r="X67">
        <f t="shared" si="6"/>
        <v>20.556305292592597</v>
      </c>
      <c r="Y67">
        <f t="shared" si="6"/>
        <v>20.556305292592597</v>
      </c>
    </row>
    <row r="68" spans="1:25" x14ac:dyDescent="0.3">
      <c r="T68">
        <f t="shared" si="6"/>
        <v>10.801538611111113</v>
      </c>
      <c r="U68">
        <f t="shared" si="6"/>
        <v>10.801538611111109</v>
      </c>
      <c r="V68">
        <f t="shared" si="6"/>
        <v>10.801538611111109</v>
      </c>
      <c r="W68">
        <f t="shared" si="6"/>
        <v>20.556305292592597</v>
      </c>
      <c r="X68">
        <f t="shared" si="6"/>
        <v>20.55630529259259</v>
      </c>
      <c r="Y68">
        <f t="shared" si="6"/>
        <v>20.55630529259259</v>
      </c>
    </row>
    <row r="69" spans="1:25" x14ac:dyDescent="0.3">
      <c r="T69">
        <f t="shared" si="6"/>
        <v>10.801538611111113</v>
      </c>
      <c r="U69">
        <f t="shared" si="6"/>
        <v>10.801538611111109</v>
      </c>
      <c r="V69">
        <f t="shared" si="6"/>
        <v>10.801538611111109</v>
      </c>
      <c r="W69">
        <f t="shared" si="6"/>
        <v>20.556305292592597</v>
      </c>
      <c r="X69">
        <f t="shared" si="6"/>
        <v>20.55630529259259</v>
      </c>
      <c r="Y69">
        <f t="shared" si="6"/>
        <v>20.55630529259259</v>
      </c>
    </row>
    <row r="71" spans="1:25" x14ac:dyDescent="0.3">
      <c r="T71">
        <f>SUM(T64:T69)</f>
        <v>77.715480433333354</v>
      </c>
    </row>
    <row r="73" spans="1:25" x14ac:dyDescent="0.3">
      <c r="A73" t="s">
        <v>96</v>
      </c>
      <c r="D73" t="s">
        <v>97</v>
      </c>
    </row>
    <row r="74" spans="1:25" x14ac:dyDescent="0.3">
      <c r="A74" s="65" t="s">
        <v>98</v>
      </c>
      <c r="Q74">
        <f>Q76+Q90+Q104+Q118+Q132+Q146</f>
        <v>583.33333333333337</v>
      </c>
    </row>
    <row r="75" spans="1:25" ht="15" thickBot="1" x14ac:dyDescent="0.35">
      <c r="A75" t="s">
        <v>33</v>
      </c>
      <c r="B75" t="s">
        <v>28</v>
      </c>
      <c r="D75" t="s">
        <v>48</v>
      </c>
      <c r="J75" s="13"/>
      <c r="K75" t="s">
        <v>41</v>
      </c>
      <c r="O75" t="s">
        <v>70</v>
      </c>
      <c r="Q75" t="s">
        <v>71</v>
      </c>
    </row>
    <row r="76" spans="1:25" x14ac:dyDescent="0.3">
      <c r="A76" s="14" t="s">
        <v>8</v>
      </c>
      <c r="B76" s="13">
        <f>1/2</f>
        <v>0.5</v>
      </c>
      <c r="C76" s="13"/>
      <c r="D76" s="34">
        <f>-(1-B78)/2</f>
        <v>-0.21129999999999999</v>
      </c>
      <c r="E76" s="35">
        <f>(1-B78)/2</f>
        <v>0.21129999999999999</v>
      </c>
      <c r="F76" s="35">
        <v>0</v>
      </c>
      <c r="G76" s="35">
        <f>-(1+B78)/2</f>
        <v>-0.78869999999999996</v>
      </c>
      <c r="H76" s="35">
        <f>(1+B78)/2</f>
        <v>0.78869999999999996</v>
      </c>
      <c r="I76" s="36">
        <v>0</v>
      </c>
      <c r="J76" s="13"/>
      <c r="K76" s="34">
        <f t="array" ref="K76:M78">MMULT(D76:I78,$A$3:$C$8)</f>
        <v>10.422599999999999</v>
      </c>
      <c r="L76" s="35">
        <v>0</v>
      </c>
      <c r="M76" s="36">
        <v>-1.5773999999999999</v>
      </c>
      <c r="O76">
        <f>MDETERM(K76:M78)</f>
        <v>565.35599999999999</v>
      </c>
      <c r="Q76">
        <f>O76*1*1/6</f>
        <v>94.225999999999999</v>
      </c>
    </row>
    <row r="77" spans="1:25" x14ac:dyDescent="0.3">
      <c r="A77" s="14" t="s">
        <v>9</v>
      </c>
      <c r="B77" s="13">
        <v>0</v>
      </c>
      <c r="C77" s="13"/>
      <c r="D77" s="37">
        <f>-(1-B78)/2</f>
        <v>-0.21129999999999999</v>
      </c>
      <c r="E77" s="38">
        <v>0</v>
      </c>
      <c r="F77" s="38">
        <f>(1-B78)/2</f>
        <v>0.21129999999999999</v>
      </c>
      <c r="G77" s="38">
        <f>-(1+B78)/2</f>
        <v>-0.78869999999999996</v>
      </c>
      <c r="H77" s="38">
        <v>0</v>
      </c>
      <c r="I77" s="39">
        <f>(1+B78)/2</f>
        <v>0.78869999999999996</v>
      </c>
      <c r="J77" s="13"/>
      <c r="K77" s="37">
        <v>0</v>
      </c>
      <c r="L77" s="38">
        <v>10</v>
      </c>
      <c r="M77" s="39">
        <v>-1.5773999999999999</v>
      </c>
    </row>
    <row r="78" spans="1:25" ht="15" thickBot="1" x14ac:dyDescent="0.35">
      <c r="A78" s="14" t="s">
        <v>10</v>
      </c>
      <c r="B78" s="13">
        <v>0.57740000000000002</v>
      </c>
      <c r="C78" s="13"/>
      <c r="D78" s="40">
        <f>-0.5*(1-B76-B77)</f>
        <v>-0.25</v>
      </c>
      <c r="E78" s="41">
        <f>-0.5*B76</f>
        <v>-0.25</v>
      </c>
      <c r="F78" s="41">
        <f>-0.5*B77</f>
        <v>0</v>
      </c>
      <c r="G78" s="41">
        <f>0.5*(1-B76-B77)</f>
        <v>0.25</v>
      </c>
      <c r="H78" s="41">
        <f>0.5*B76</f>
        <v>0.25</v>
      </c>
      <c r="I78" s="42">
        <f>0.5*B77</f>
        <v>0</v>
      </c>
      <c r="J78" s="13"/>
      <c r="K78" s="40">
        <v>-0.5</v>
      </c>
      <c r="L78" s="41">
        <v>0</v>
      </c>
      <c r="M78" s="42">
        <v>5.5</v>
      </c>
    </row>
    <row r="80" spans="1:25" ht="15" thickBot="1" x14ac:dyDescent="0.35">
      <c r="D80" s="13" t="s">
        <v>49</v>
      </c>
      <c r="E80" s="13" t="s">
        <v>50</v>
      </c>
      <c r="F80" s="13" t="s">
        <v>51</v>
      </c>
      <c r="G80" s="13" t="s">
        <v>52</v>
      </c>
      <c r="H80" s="13" t="s">
        <v>53</v>
      </c>
      <c r="I80" s="13" t="s">
        <v>54</v>
      </c>
      <c r="K80" s="13" t="s">
        <v>72</v>
      </c>
      <c r="M80" s="13" t="s">
        <v>73</v>
      </c>
      <c r="T80" s="13" t="s">
        <v>74</v>
      </c>
    </row>
    <row r="81" spans="1:25" x14ac:dyDescent="0.3">
      <c r="D81">
        <f>(1-B76-B77)*(1-B78)/2</f>
        <v>0.10564999999999999</v>
      </c>
      <c r="E81">
        <f>B76*(1-B78)/2</f>
        <v>0.10564999999999999</v>
      </c>
      <c r="F81">
        <f>B77*(1-B78)/2</f>
        <v>0</v>
      </c>
      <c r="G81">
        <f>(1-B76-B77)*(1+B78)/2</f>
        <v>0.39434999999999998</v>
      </c>
      <c r="H81">
        <f>B76*(1+B78)/2</f>
        <v>0.39434999999999998</v>
      </c>
      <c r="I81">
        <f>B77*(1+B78)/2</f>
        <v>0</v>
      </c>
      <c r="K81">
        <f t="array" ref="K81:K86">TRANSPOSE(D81:I81)</f>
        <v>0.10564999999999999</v>
      </c>
      <c r="M81" s="3">
        <f t="array" ref="M81:R86">MMULT(K81:K86,D81:I81)</f>
        <v>1.1161922499999999E-2</v>
      </c>
      <c r="N81" s="4">
        <v>1.1161922499999999E-2</v>
      </c>
      <c r="O81" s="4">
        <v>0</v>
      </c>
      <c r="P81" s="4">
        <v>4.1663077499999993E-2</v>
      </c>
      <c r="Q81" s="4">
        <v>4.1663077499999993E-2</v>
      </c>
      <c r="R81" s="5">
        <v>0</v>
      </c>
      <c r="T81" s="3">
        <f t="shared" ref="T81:T86" si="7">M81*$Q$76</f>
        <v>1.0517433094849999</v>
      </c>
      <c r="U81" s="4">
        <f t="shared" ref="U81:Y86" si="8">N81*$Q$76</f>
        <v>1.0517433094849999</v>
      </c>
      <c r="V81" s="4">
        <f t="shared" si="8"/>
        <v>0</v>
      </c>
      <c r="W81" s="4">
        <f t="shared" si="8"/>
        <v>3.9257451405149992</v>
      </c>
      <c r="X81" s="4">
        <f t="shared" si="8"/>
        <v>3.9257451405149992</v>
      </c>
      <c r="Y81" s="5">
        <f t="shared" si="8"/>
        <v>0</v>
      </c>
    </row>
    <row r="82" spans="1:25" x14ac:dyDescent="0.3">
      <c r="K82">
        <v>0.10564999999999999</v>
      </c>
      <c r="M82" s="6">
        <v>1.1161922499999999E-2</v>
      </c>
      <c r="N82" s="7">
        <v>1.1161922499999999E-2</v>
      </c>
      <c r="O82" s="7">
        <v>0</v>
      </c>
      <c r="P82" s="7">
        <v>4.1663077499999993E-2</v>
      </c>
      <c r="Q82" s="7">
        <v>4.1663077499999993E-2</v>
      </c>
      <c r="R82" s="8">
        <v>0</v>
      </c>
      <c r="T82" s="6">
        <f t="shared" si="7"/>
        <v>1.0517433094849999</v>
      </c>
      <c r="U82" s="7">
        <f t="shared" si="8"/>
        <v>1.0517433094849999</v>
      </c>
      <c r="V82" s="7">
        <f t="shared" si="8"/>
        <v>0</v>
      </c>
      <c r="W82" s="7">
        <f t="shared" si="8"/>
        <v>3.9257451405149992</v>
      </c>
      <c r="X82" s="7">
        <f t="shared" si="8"/>
        <v>3.9257451405149992</v>
      </c>
      <c r="Y82" s="8">
        <f t="shared" si="8"/>
        <v>0</v>
      </c>
    </row>
    <row r="83" spans="1:25" x14ac:dyDescent="0.3">
      <c r="D83">
        <f>SUM(D81:I81)</f>
        <v>1</v>
      </c>
      <c r="K83">
        <v>0</v>
      </c>
      <c r="M83" s="6">
        <v>0</v>
      </c>
      <c r="N83" s="7">
        <v>0</v>
      </c>
      <c r="O83" s="7">
        <v>0</v>
      </c>
      <c r="P83" s="7">
        <v>0</v>
      </c>
      <c r="Q83" s="7">
        <v>0</v>
      </c>
      <c r="R83" s="8">
        <v>0</v>
      </c>
      <c r="T83" s="6">
        <f t="shared" si="7"/>
        <v>0</v>
      </c>
      <c r="U83" s="7">
        <f t="shared" si="8"/>
        <v>0</v>
      </c>
      <c r="V83" s="7">
        <f t="shared" si="8"/>
        <v>0</v>
      </c>
      <c r="W83" s="7">
        <f t="shared" si="8"/>
        <v>0</v>
      </c>
      <c r="X83" s="7">
        <f t="shared" si="8"/>
        <v>0</v>
      </c>
      <c r="Y83" s="8">
        <f t="shared" si="8"/>
        <v>0</v>
      </c>
    </row>
    <row r="84" spans="1:25" x14ac:dyDescent="0.3">
      <c r="K84">
        <v>0.39434999999999998</v>
      </c>
      <c r="M84" s="6">
        <v>4.1663077499999993E-2</v>
      </c>
      <c r="N84" s="7">
        <v>4.1663077499999993E-2</v>
      </c>
      <c r="O84" s="7">
        <v>0</v>
      </c>
      <c r="P84" s="7">
        <v>0.15551192249999998</v>
      </c>
      <c r="Q84" s="7">
        <v>0.15551192249999998</v>
      </c>
      <c r="R84" s="8">
        <v>0</v>
      </c>
      <c r="T84" s="6">
        <f t="shared" si="7"/>
        <v>3.9257451405149992</v>
      </c>
      <c r="U84" s="7">
        <f t="shared" si="8"/>
        <v>3.9257451405149992</v>
      </c>
      <c r="V84" s="7">
        <f t="shared" si="8"/>
        <v>0</v>
      </c>
      <c r="W84" s="7">
        <f t="shared" si="8"/>
        <v>14.653266409484997</v>
      </c>
      <c r="X84" s="7">
        <f t="shared" si="8"/>
        <v>14.653266409484997</v>
      </c>
      <c r="Y84" s="8">
        <f t="shared" si="8"/>
        <v>0</v>
      </c>
    </row>
    <row r="85" spans="1:25" x14ac:dyDescent="0.3">
      <c r="K85">
        <v>0.39434999999999998</v>
      </c>
      <c r="M85" s="6">
        <v>4.1663077499999993E-2</v>
      </c>
      <c r="N85" s="7">
        <v>4.1663077499999993E-2</v>
      </c>
      <c r="O85" s="7">
        <v>0</v>
      </c>
      <c r="P85" s="7">
        <v>0.15551192249999998</v>
      </c>
      <c r="Q85" s="7">
        <v>0.15551192249999998</v>
      </c>
      <c r="R85" s="8">
        <v>0</v>
      </c>
      <c r="T85" s="6">
        <f t="shared" si="7"/>
        <v>3.9257451405149992</v>
      </c>
      <c r="U85" s="7">
        <f t="shared" si="8"/>
        <v>3.9257451405149992</v>
      </c>
      <c r="V85" s="7">
        <f t="shared" si="8"/>
        <v>0</v>
      </c>
      <c r="W85" s="7">
        <f t="shared" si="8"/>
        <v>14.653266409484997</v>
      </c>
      <c r="X85" s="7">
        <f t="shared" si="8"/>
        <v>14.653266409484997</v>
      </c>
      <c r="Y85" s="8">
        <f t="shared" si="8"/>
        <v>0</v>
      </c>
    </row>
    <row r="86" spans="1:25" ht="15" thickBot="1" x14ac:dyDescent="0.35">
      <c r="K86">
        <v>0</v>
      </c>
      <c r="M86" s="9">
        <v>0</v>
      </c>
      <c r="N86" s="10">
        <v>0</v>
      </c>
      <c r="O86" s="10">
        <v>0</v>
      </c>
      <c r="P86" s="10">
        <v>0</v>
      </c>
      <c r="Q86" s="10">
        <v>0</v>
      </c>
      <c r="R86" s="11">
        <v>0</v>
      </c>
      <c r="T86" s="9">
        <f t="shared" si="7"/>
        <v>0</v>
      </c>
      <c r="U86" s="10">
        <f t="shared" si="8"/>
        <v>0</v>
      </c>
      <c r="V86" s="10">
        <f t="shared" si="8"/>
        <v>0</v>
      </c>
      <c r="W86" s="10">
        <f t="shared" si="8"/>
        <v>0</v>
      </c>
      <c r="X86" s="10">
        <f t="shared" si="8"/>
        <v>0</v>
      </c>
      <c r="Y86" s="11">
        <f t="shared" si="8"/>
        <v>0</v>
      </c>
    </row>
    <row r="88" spans="1:25" x14ac:dyDescent="0.3">
      <c r="A88" s="65" t="s">
        <v>99</v>
      </c>
    </row>
    <row r="89" spans="1:25" ht="15" thickBot="1" x14ac:dyDescent="0.35">
      <c r="A89" t="s">
        <v>33</v>
      </c>
      <c r="B89" t="s">
        <v>28</v>
      </c>
      <c r="D89" t="s">
        <v>48</v>
      </c>
      <c r="J89" s="13"/>
      <c r="K89" t="s">
        <v>41</v>
      </c>
      <c r="O89" t="s">
        <v>70</v>
      </c>
      <c r="Q89" t="s">
        <v>71</v>
      </c>
    </row>
    <row r="90" spans="1:25" x14ac:dyDescent="0.3">
      <c r="A90" s="14" t="s">
        <v>8</v>
      </c>
      <c r="B90" s="13">
        <v>0</v>
      </c>
      <c r="C90" s="13"/>
      <c r="D90" s="34">
        <f>-(1-B92)/2</f>
        <v>-0.21129999999999999</v>
      </c>
      <c r="E90" s="35">
        <f>(1-B92)/2</f>
        <v>0.21129999999999999</v>
      </c>
      <c r="F90" s="35">
        <v>0</v>
      </c>
      <c r="G90" s="35">
        <f>-(1+B92)/2</f>
        <v>-0.78869999999999996</v>
      </c>
      <c r="H90" s="35">
        <f>(1+B92)/2</f>
        <v>0.78869999999999996</v>
      </c>
      <c r="I90" s="36">
        <v>0</v>
      </c>
      <c r="J90" s="13"/>
      <c r="K90" s="34">
        <f t="array" ref="K90:M92">MMULT(D90:I92,$A$3:$C$8)</f>
        <v>10.422599999999999</v>
      </c>
      <c r="L90" s="35">
        <v>0</v>
      </c>
      <c r="M90" s="36">
        <v>-1.5773999999999999</v>
      </c>
      <c r="O90">
        <f>MDETERM(K90:M92)</f>
        <v>573.24299999999994</v>
      </c>
      <c r="Q90">
        <f>O90*1*1/6</f>
        <v>95.540499999999994</v>
      </c>
    </row>
    <row r="91" spans="1:25" x14ac:dyDescent="0.3">
      <c r="A91" s="14" t="s">
        <v>9</v>
      </c>
      <c r="B91" s="13">
        <f>1/2</f>
        <v>0.5</v>
      </c>
      <c r="C91" s="13"/>
      <c r="D91" s="37">
        <f>-(1-B92)/2</f>
        <v>-0.21129999999999999</v>
      </c>
      <c r="E91" s="38">
        <v>0</v>
      </c>
      <c r="F91" s="38">
        <f>(1-B92)/2</f>
        <v>0.21129999999999999</v>
      </c>
      <c r="G91" s="38">
        <f>-(1+B92)/2</f>
        <v>-0.78869999999999996</v>
      </c>
      <c r="H91" s="38">
        <v>0</v>
      </c>
      <c r="I91" s="39">
        <f>(1+B92)/2</f>
        <v>0.78869999999999996</v>
      </c>
      <c r="J91" s="13"/>
      <c r="K91" s="37">
        <v>0</v>
      </c>
      <c r="L91" s="38">
        <v>10</v>
      </c>
      <c r="M91" s="39">
        <v>-1.5773999999999999</v>
      </c>
    </row>
    <row r="92" spans="1:25" ht="15" thickBot="1" x14ac:dyDescent="0.35">
      <c r="A92" s="14" t="s">
        <v>10</v>
      </c>
      <c r="B92" s="13">
        <v>0.57740000000000002</v>
      </c>
      <c r="C92" s="13"/>
      <c r="D92" s="40">
        <f>-0.5*(1-B90-B91)</f>
        <v>-0.25</v>
      </c>
      <c r="E92" s="41">
        <f>-0.5*B90</f>
        <v>0</v>
      </c>
      <c r="F92" s="41">
        <f>-0.5*B91</f>
        <v>-0.25</v>
      </c>
      <c r="G92" s="41">
        <f>0.5*(1-B90-B91)</f>
        <v>0.25</v>
      </c>
      <c r="H92" s="41">
        <f>0.5*B90</f>
        <v>0</v>
      </c>
      <c r="I92" s="42">
        <f>0.5*B91</f>
        <v>0.25</v>
      </c>
      <c r="J92" s="13"/>
      <c r="K92" s="40">
        <v>0</v>
      </c>
      <c r="L92" s="41">
        <v>0</v>
      </c>
      <c r="M92" s="42">
        <v>5.5</v>
      </c>
    </row>
    <row r="94" spans="1:25" ht="15" thickBot="1" x14ac:dyDescent="0.35">
      <c r="D94" s="13" t="s">
        <v>49</v>
      </c>
      <c r="E94" s="13" t="s">
        <v>50</v>
      </c>
      <c r="F94" s="13" t="s">
        <v>51</v>
      </c>
      <c r="G94" s="13" t="s">
        <v>52</v>
      </c>
      <c r="H94" s="13" t="s">
        <v>53</v>
      </c>
      <c r="I94" s="13" t="s">
        <v>54</v>
      </c>
      <c r="K94" s="13" t="s">
        <v>72</v>
      </c>
      <c r="M94" s="13" t="s">
        <v>73</v>
      </c>
      <c r="T94" s="13" t="s">
        <v>74</v>
      </c>
    </row>
    <row r="95" spans="1:25" x14ac:dyDescent="0.3">
      <c r="D95">
        <f>(1-B90-B91)*(1-B92)/2</f>
        <v>0.10564999999999999</v>
      </c>
      <c r="E95">
        <f>B90*(1-B92)/2</f>
        <v>0</v>
      </c>
      <c r="F95">
        <f>B91*(1-B92)/2</f>
        <v>0.10564999999999999</v>
      </c>
      <c r="G95">
        <f>(1-B90-B91)*(1+B92)/2</f>
        <v>0.39434999999999998</v>
      </c>
      <c r="H95">
        <f>B90*(1+B92)/2</f>
        <v>0</v>
      </c>
      <c r="I95">
        <f>B91*(1+B92)/2</f>
        <v>0.39434999999999998</v>
      </c>
      <c r="K95">
        <f t="array" ref="K95:K100">TRANSPOSE(D95:I95)</f>
        <v>0.10564999999999999</v>
      </c>
      <c r="M95">
        <f t="array" ref="M95:R100">MMULT(K95:K100,D95:I95)</f>
        <v>1.1161922499999999E-2</v>
      </c>
      <c r="N95">
        <v>0</v>
      </c>
      <c r="O95">
        <v>1.1161922499999999E-2</v>
      </c>
      <c r="P95">
        <v>4.1663077499999993E-2</v>
      </c>
      <c r="Q95">
        <v>0</v>
      </c>
      <c r="R95">
        <v>4.1663077499999993E-2</v>
      </c>
      <c r="T95" s="3">
        <f t="shared" ref="T95:T100" si="9">M95*$Q$90</f>
        <v>1.0664156566112499</v>
      </c>
      <c r="U95" s="4">
        <f t="shared" ref="U95:Y100" si="10">N95*$Q$90</f>
        <v>0</v>
      </c>
      <c r="V95" s="4">
        <f t="shared" si="10"/>
        <v>1.0664156566112499</v>
      </c>
      <c r="W95" s="4">
        <f t="shared" si="10"/>
        <v>3.9805112558887492</v>
      </c>
      <c r="X95" s="4">
        <f t="shared" si="10"/>
        <v>0</v>
      </c>
      <c r="Y95" s="5">
        <f t="shared" si="10"/>
        <v>3.9805112558887492</v>
      </c>
    </row>
    <row r="96" spans="1:25" x14ac:dyDescent="0.3">
      <c r="K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T96" s="6">
        <f t="shared" si="9"/>
        <v>0</v>
      </c>
      <c r="U96" s="7">
        <f t="shared" si="10"/>
        <v>0</v>
      </c>
      <c r="V96" s="7">
        <f t="shared" si="10"/>
        <v>0</v>
      </c>
      <c r="W96" s="7">
        <f t="shared" si="10"/>
        <v>0</v>
      </c>
      <c r="X96" s="7">
        <f t="shared" si="10"/>
        <v>0</v>
      </c>
      <c r="Y96" s="8">
        <f t="shared" si="10"/>
        <v>0</v>
      </c>
    </row>
    <row r="97" spans="1:25" x14ac:dyDescent="0.3">
      <c r="D97">
        <f>SUM(D95:I95)</f>
        <v>1</v>
      </c>
      <c r="K97">
        <v>0.10564999999999999</v>
      </c>
      <c r="M97">
        <v>1.1161922499999999E-2</v>
      </c>
      <c r="N97">
        <v>0</v>
      </c>
      <c r="O97">
        <v>1.1161922499999999E-2</v>
      </c>
      <c r="P97">
        <v>4.1663077499999993E-2</v>
      </c>
      <c r="Q97">
        <v>0</v>
      </c>
      <c r="R97">
        <v>4.1663077499999993E-2</v>
      </c>
      <c r="T97" s="6">
        <f t="shared" si="9"/>
        <v>1.0664156566112499</v>
      </c>
      <c r="U97" s="7">
        <f t="shared" si="10"/>
        <v>0</v>
      </c>
      <c r="V97" s="7">
        <f t="shared" si="10"/>
        <v>1.0664156566112499</v>
      </c>
      <c r="W97" s="7">
        <f t="shared" si="10"/>
        <v>3.9805112558887492</v>
      </c>
      <c r="X97" s="7">
        <f t="shared" si="10"/>
        <v>0</v>
      </c>
      <c r="Y97" s="8">
        <f t="shared" si="10"/>
        <v>3.9805112558887492</v>
      </c>
    </row>
    <row r="98" spans="1:25" x14ac:dyDescent="0.3">
      <c r="K98">
        <v>0.39434999999999998</v>
      </c>
      <c r="M98">
        <v>4.1663077499999993E-2</v>
      </c>
      <c r="N98">
        <v>0</v>
      </c>
      <c r="O98">
        <v>4.1663077499999993E-2</v>
      </c>
      <c r="P98">
        <v>0.15551192249999998</v>
      </c>
      <c r="Q98">
        <v>0</v>
      </c>
      <c r="R98">
        <v>0.15551192249999998</v>
      </c>
      <c r="T98" s="6">
        <f t="shared" si="9"/>
        <v>3.9805112558887492</v>
      </c>
      <c r="U98" s="7">
        <f t="shared" si="10"/>
        <v>0</v>
      </c>
      <c r="V98" s="7">
        <f t="shared" si="10"/>
        <v>3.9805112558887492</v>
      </c>
      <c r="W98" s="7">
        <f t="shared" si="10"/>
        <v>14.857686831611247</v>
      </c>
      <c r="X98" s="7">
        <f t="shared" si="10"/>
        <v>0</v>
      </c>
      <c r="Y98" s="8">
        <f t="shared" si="10"/>
        <v>14.857686831611247</v>
      </c>
    </row>
    <row r="99" spans="1:25" x14ac:dyDescent="0.3">
      <c r="K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T99" s="6">
        <f t="shared" si="9"/>
        <v>0</v>
      </c>
      <c r="U99" s="7">
        <f t="shared" si="10"/>
        <v>0</v>
      </c>
      <c r="V99" s="7">
        <f t="shared" si="10"/>
        <v>0</v>
      </c>
      <c r="W99" s="7">
        <f t="shared" si="10"/>
        <v>0</v>
      </c>
      <c r="X99" s="7">
        <f t="shared" si="10"/>
        <v>0</v>
      </c>
      <c r="Y99" s="8">
        <f t="shared" si="10"/>
        <v>0</v>
      </c>
    </row>
    <row r="100" spans="1:25" ht="15" thickBot="1" x14ac:dyDescent="0.35">
      <c r="K100">
        <v>0.39434999999999998</v>
      </c>
      <c r="M100">
        <v>4.1663077499999993E-2</v>
      </c>
      <c r="N100">
        <v>0</v>
      </c>
      <c r="O100">
        <v>4.1663077499999993E-2</v>
      </c>
      <c r="P100">
        <v>0.15551192249999998</v>
      </c>
      <c r="Q100">
        <v>0</v>
      </c>
      <c r="R100">
        <v>0.15551192249999998</v>
      </c>
      <c r="T100" s="9">
        <f t="shared" si="9"/>
        <v>3.9805112558887492</v>
      </c>
      <c r="U100" s="10">
        <f t="shared" si="10"/>
        <v>0</v>
      </c>
      <c r="V100" s="10">
        <f t="shared" si="10"/>
        <v>3.9805112558887492</v>
      </c>
      <c r="W100" s="10">
        <f t="shared" si="10"/>
        <v>14.857686831611247</v>
      </c>
      <c r="X100" s="10">
        <f t="shared" si="10"/>
        <v>0</v>
      </c>
      <c r="Y100" s="11">
        <f t="shared" si="10"/>
        <v>14.857686831611247</v>
      </c>
    </row>
    <row r="102" spans="1:25" x14ac:dyDescent="0.3">
      <c r="A102" s="65" t="s">
        <v>100</v>
      </c>
    </row>
    <row r="103" spans="1:25" ht="15" thickBot="1" x14ac:dyDescent="0.35">
      <c r="A103" t="s">
        <v>33</v>
      </c>
      <c r="B103" t="s">
        <v>28</v>
      </c>
      <c r="D103" t="s">
        <v>48</v>
      </c>
      <c r="J103" s="13"/>
      <c r="K103" t="s">
        <v>41</v>
      </c>
      <c r="O103" t="s">
        <v>70</v>
      </c>
      <c r="Q103" t="s">
        <v>71</v>
      </c>
    </row>
    <row r="104" spans="1:25" x14ac:dyDescent="0.3">
      <c r="A104" s="14" t="s">
        <v>8</v>
      </c>
      <c r="B104" s="13">
        <v>0.5</v>
      </c>
      <c r="C104" s="13"/>
      <c r="D104" s="34">
        <f>-(1-B106)/2</f>
        <v>-0.21129999999999999</v>
      </c>
      <c r="E104" s="35">
        <f>(1-B106)/2</f>
        <v>0.21129999999999999</v>
      </c>
      <c r="F104" s="35">
        <v>0</v>
      </c>
      <c r="G104" s="35">
        <f>-(1+B106)/2</f>
        <v>-0.78869999999999996</v>
      </c>
      <c r="H104" s="35">
        <f>(1+B106)/2</f>
        <v>0.78869999999999996</v>
      </c>
      <c r="I104" s="36">
        <v>0</v>
      </c>
      <c r="J104" s="13"/>
      <c r="K104" s="34">
        <f t="array" ref="K104:M106">MMULT(D104:I106,$A$3:$C$8)</f>
        <v>10.422599999999999</v>
      </c>
      <c r="L104" s="35">
        <v>0</v>
      </c>
      <c r="M104" s="36">
        <v>-1.5773999999999999</v>
      </c>
      <c r="O104">
        <f>MDETERM(K104:M106)</f>
        <v>513.24300000000005</v>
      </c>
      <c r="Q104">
        <f>O104/6</f>
        <v>85.540500000000009</v>
      </c>
    </row>
    <row r="105" spans="1:25" x14ac:dyDescent="0.3">
      <c r="A105" s="14" t="s">
        <v>9</v>
      </c>
      <c r="B105" s="13">
        <v>0.5</v>
      </c>
      <c r="C105" s="13"/>
      <c r="D105" s="37">
        <f>-(1-B106)/2</f>
        <v>-0.21129999999999999</v>
      </c>
      <c r="E105" s="38">
        <v>0</v>
      </c>
      <c r="F105" s="38">
        <f>(1-B106)/2</f>
        <v>0.21129999999999999</v>
      </c>
      <c r="G105" s="38">
        <f>-(1+B106)/2</f>
        <v>-0.78869999999999996</v>
      </c>
      <c r="H105" s="38">
        <v>0</v>
      </c>
      <c r="I105" s="39">
        <f>(1+B106)/2</f>
        <v>0.78869999999999996</v>
      </c>
      <c r="J105" s="13"/>
      <c r="K105" s="37">
        <v>0</v>
      </c>
      <c r="L105" s="38">
        <v>10</v>
      </c>
      <c r="M105" s="39">
        <v>-1.5773999999999999</v>
      </c>
    </row>
    <row r="106" spans="1:25" ht="15" thickBot="1" x14ac:dyDescent="0.35">
      <c r="A106" s="14" t="s">
        <v>10</v>
      </c>
      <c r="B106" s="13">
        <v>0.57740000000000002</v>
      </c>
      <c r="C106" s="13"/>
      <c r="D106" s="40">
        <f>-0.5*(1-B104-B105)</f>
        <v>0</v>
      </c>
      <c r="E106" s="41">
        <f>-0.5*B104</f>
        <v>-0.25</v>
      </c>
      <c r="F106" s="41">
        <f>-0.5*B105</f>
        <v>-0.25</v>
      </c>
      <c r="G106" s="41">
        <f>0.5*(1-B104-B105)</f>
        <v>0</v>
      </c>
      <c r="H106" s="41">
        <f>0.5*B104</f>
        <v>0.25</v>
      </c>
      <c r="I106" s="42">
        <f>0.5*B105</f>
        <v>0.25</v>
      </c>
      <c r="J106" s="13"/>
      <c r="K106" s="40">
        <v>-0.5</v>
      </c>
      <c r="L106" s="41">
        <v>0</v>
      </c>
      <c r="M106" s="42">
        <v>5</v>
      </c>
    </row>
    <row r="108" spans="1:25" x14ac:dyDescent="0.3">
      <c r="D108" s="13" t="s">
        <v>49</v>
      </c>
      <c r="E108" s="13" t="s">
        <v>50</v>
      </c>
      <c r="F108" s="13" t="s">
        <v>51</v>
      </c>
      <c r="G108" s="13" t="s">
        <v>52</v>
      </c>
      <c r="H108" s="13" t="s">
        <v>53</v>
      </c>
      <c r="I108" s="13" t="s">
        <v>54</v>
      </c>
      <c r="K108" s="13" t="s">
        <v>72</v>
      </c>
      <c r="M108" s="13" t="s">
        <v>73</v>
      </c>
      <c r="T108" s="13" t="s">
        <v>74</v>
      </c>
    </row>
    <row r="109" spans="1:25" x14ac:dyDescent="0.3">
      <c r="D109">
        <f>(1-B104-B105)*(1-B106)/2</f>
        <v>0</v>
      </c>
      <c r="E109">
        <f>B104*(1-B106)/2</f>
        <v>0.10564999999999999</v>
      </c>
      <c r="F109">
        <f>B105*(1-B106)/2</f>
        <v>0.10564999999999999</v>
      </c>
      <c r="G109">
        <f>(1-B104-B105)*(1+B106)/2</f>
        <v>0</v>
      </c>
      <c r="H109">
        <f>B104*(1+B106)/2</f>
        <v>0.39434999999999998</v>
      </c>
      <c r="I109">
        <f>B105*(1+B106)/2</f>
        <v>0.39434999999999998</v>
      </c>
      <c r="K109">
        <f t="array" ref="K109:K114">TRANSPOSE(D109:I109)</f>
        <v>0</v>
      </c>
      <c r="M109">
        <f t="array" ref="M109:R114">MMULT(K109:K114,D109:I109)</f>
        <v>0</v>
      </c>
      <c r="N109">
        <v>0</v>
      </c>
      <c r="O109">
        <v>0</v>
      </c>
      <c r="P109">
        <v>0</v>
      </c>
      <c r="Q109">
        <v>0</v>
      </c>
      <c r="R109">
        <v>0</v>
      </c>
      <c r="T109">
        <f t="shared" ref="T109:T114" si="11">M109*$Q$104</f>
        <v>0</v>
      </c>
      <c r="U109">
        <f t="shared" ref="U109:Y114" si="12">N109*$Q$104</f>
        <v>0</v>
      </c>
      <c r="V109">
        <f t="shared" si="12"/>
        <v>0</v>
      </c>
      <c r="W109">
        <f t="shared" si="12"/>
        <v>0</v>
      </c>
      <c r="X109">
        <f t="shared" si="12"/>
        <v>0</v>
      </c>
      <c r="Y109">
        <f t="shared" si="12"/>
        <v>0</v>
      </c>
    </row>
    <row r="110" spans="1:25" x14ac:dyDescent="0.3">
      <c r="K110">
        <v>0.10564999999999999</v>
      </c>
      <c r="M110">
        <v>0</v>
      </c>
      <c r="N110">
        <v>1.1161922499999999E-2</v>
      </c>
      <c r="O110">
        <v>1.1161922499999999E-2</v>
      </c>
      <c r="P110">
        <v>0</v>
      </c>
      <c r="Q110">
        <v>4.1663077499999993E-2</v>
      </c>
      <c r="R110">
        <v>4.1663077499999993E-2</v>
      </c>
      <c r="T110">
        <f t="shared" si="11"/>
        <v>0</v>
      </c>
      <c r="U110">
        <f t="shared" si="12"/>
        <v>0.95479643161125005</v>
      </c>
      <c r="V110">
        <f t="shared" si="12"/>
        <v>0.95479643161125005</v>
      </c>
      <c r="W110">
        <f t="shared" si="12"/>
        <v>0</v>
      </c>
      <c r="X110">
        <f t="shared" si="12"/>
        <v>3.5638804808887499</v>
      </c>
      <c r="Y110">
        <f t="shared" si="12"/>
        <v>3.5638804808887499</v>
      </c>
    </row>
    <row r="111" spans="1:25" x14ac:dyDescent="0.3">
      <c r="D111">
        <f>SUM(D109:I109)</f>
        <v>1</v>
      </c>
      <c r="K111">
        <v>0.10564999999999999</v>
      </c>
      <c r="M111">
        <v>0</v>
      </c>
      <c r="N111">
        <v>1.1161922499999999E-2</v>
      </c>
      <c r="O111">
        <v>1.1161922499999999E-2</v>
      </c>
      <c r="P111">
        <v>0</v>
      </c>
      <c r="Q111">
        <v>4.1663077499999993E-2</v>
      </c>
      <c r="R111">
        <v>4.1663077499999993E-2</v>
      </c>
      <c r="T111">
        <f t="shared" si="11"/>
        <v>0</v>
      </c>
      <c r="U111">
        <f t="shared" si="12"/>
        <v>0.95479643161125005</v>
      </c>
      <c r="V111">
        <f t="shared" si="12"/>
        <v>0.95479643161125005</v>
      </c>
      <c r="W111">
        <f t="shared" si="12"/>
        <v>0</v>
      </c>
      <c r="X111">
        <f t="shared" si="12"/>
        <v>3.5638804808887499</v>
      </c>
      <c r="Y111">
        <f t="shared" si="12"/>
        <v>3.5638804808887499</v>
      </c>
    </row>
    <row r="112" spans="1:25" x14ac:dyDescent="0.3">
      <c r="K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T112">
        <f t="shared" si="11"/>
        <v>0</v>
      </c>
      <c r="U112">
        <f t="shared" si="12"/>
        <v>0</v>
      </c>
      <c r="V112">
        <f t="shared" si="12"/>
        <v>0</v>
      </c>
      <c r="W112">
        <f t="shared" si="12"/>
        <v>0</v>
      </c>
      <c r="X112">
        <f t="shared" si="12"/>
        <v>0</v>
      </c>
      <c r="Y112">
        <f t="shared" si="12"/>
        <v>0</v>
      </c>
    </row>
    <row r="113" spans="1:25" x14ac:dyDescent="0.3">
      <c r="K113">
        <v>0.39434999999999998</v>
      </c>
      <c r="M113">
        <v>0</v>
      </c>
      <c r="N113">
        <v>4.1663077499999993E-2</v>
      </c>
      <c r="O113">
        <v>4.1663077499999993E-2</v>
      </c>
      <c r="P113">
        <v>0</v>
      </c>
      <c r="Q113">
        <v>0.15551192249999998</v>
      </c>
      <c r="R113">
        <v>0.15551192249999998</v>
      </c>
      <c r="T113">
        <f t="shared" si="11"/>
        <v>0</v>
      </c>
      <c r="U113">
        <f t="shared" si="12"/>
        <v>3.5638804808887499</v>
      </c>
      <c r="V113">
        <f t="shared" si="12"/>
        <v>3.5638804808887499</v>
      </c>
      <c r="W113">
        <f t="shared" si="12"/>
        <v>0</v>
      </c>
      <c r="X113">
        <f t="shared" si="12"/>
        <v>13.30256760661125</v>
      </c>
      <c r="Y113">
        <f t="shared" si="12"/>
        <v>13.30256760661125</v>
      </c>
    </row>
    <row r="114" spans="1:25" x14ac:dyDescent="0.3">
      <c r="K114">
        <v>0.39434999999999998</v>
      </c>
      <c r="M114">
        <v>0</v>
      </c>
      <c r="N114">
        <v>4.1663077499999993E-2</v>
      </c>
      <c r="O114">
        <v>4.1663077499999993E-2</v>
      </c>
      <c r="P114">
        <v>0</v>
      </c>
      <c r="Q114">
        <v>0.15551192249999998</v>
      </c>
      <c r="R114">
        <v>0.15551192249999998</v>
      </c>
      <c r="T114">
        <f t="shared" si="11"/>
        <v>0</v>
      </c>
      <c r="U114">
        <f t="shared" si="12"/>
        <v>3.5638804808887499</v>
      </c>
      <c r="V114">
        <f t="shared" si="12"/>
        <v>3.5638804808887499</v>
      </c>
      <c r="W114">
        <f t="shared" si="12"/>
        <v>0</v>
      </c>
      <c r="X114">
        <f t="shared" si="12"/>
        <v>13.30256760661125</v>
      </c>
      <c r="Y114">
        <f t="shared" si="12"/>
        <v>13.30256760661125</v>
      </c>
    </row>
    <row r="116" spans="1:25" x14ac:dyDescent="0.3">
      <c r="A116" s="65" t="s">
        <v>101</v>
      </c>
    </row>
    <row r="117" spans="1:25" ht="15" thickBot="1" x14ac:dyDescent="0.35">
      <c r="A117" t="s">
        <v>33</v>
      </c>
      <c r="B117" t="s">
        <v>28</v>
      </c>
      <c r="D117" t="s">
        <v>48</v>
      </c>
      <c r="J117" s="13"/>
      <c r="K117" t="s">
        <v>41</v>
      </c>
      <c r="O117" t="s">
        <v>70</v>
      </c>
      <c r="Q117" t="s">
        <v>71</v>
      </c>
    </row>
    <row r="118" spans="1:25" x14ac:dyDescent="0.3">
      <c r="A118" s="14" t="s">
        <v>8</v>
      </c>
      <c r="B118" s="13">
        <f>1/2</f>
        <v>0.5</v>
      </c>
      <c r="C118" s="13"/>
      <c r="D118" s="34">
        <f>-(1-B120)/2</f>
        <v>-0.78869999999999996</v>
      </c>
      <c r="E118" s="35">
        <f>(1-B120)/2</f>
        <v>0.78869999999999996</v>
      </c>
      <c r="F118" s="35">
        <v>0</v>
      </c>
      <c r="G118" s="35">
        <f>-(1+B120)/2</f>
        <v>-0.21129999999999999</v>
      </c>
      <c r="H118" s="35">
        <f>(1+B120)/2</f>
        <v>0.21129999999999999</v>
      </c>
      <c r="I118" s="36">
        <v>0</v>
      </c>
      <c r="J118" s="13"/>
      <c r="K118" s="34">
        <f t="array" ref="K118:M120">MMULT(D118:I120,$A$3:$C$8)</f>
        <v>11.577399999999999</v>
      </c>
      <c r="L118" s="35">
        <v>0</v>
      </c>
      <c r="M118" s="36">
        <v>-0.42259999999999964</v>
      </c>
      <c r="O118">
        <f>MDETERM(K118:M120)</f>
        <v>634.64399999999989</v>
      </c>
      <c r="Q118">
        <f>O118/6</f>
        <v>105.77399999999999</v>
      </c>
    </row>
    <row r="119" spans="1:25" x14ac:dyDescent="0.3">
      <c r="A119" s="14" t="s">
        <v>9</v>
      </c>
      <c r="B119" s="13">
        <v>0</v>
      </c>
      <c r="C119" s="13"/>
      <c r="D119" s="37">
        <f>-(1-B120)/2</f>
        <v>-0.78869999999999996</v>
      </c>
      <c r="E119" s="38">
        <v>0</v>
      </c>
      <c r="F119" s="38">
        <f>(1-B120)/2</f>
        <v>0.78869999999999996</v>
      </c>
      <c r="G119" s="38">
        <f>-(1+B120)/2</f>
        <v>-0.21129999999999999</v>
      </c>
      <c r="H119" s="38">
        <v>0</v>
      </c>
      <c r="I119" s="39">
        <f>(1+B120)/2</f>
        <v>0.21129999999999999</v>
      </c>
      <c r="J119" s="13"/>
      <c r="K119" s="37">
        <v>0</v>
      </c>
      <c r="L119" s="38">
        <v>10</v>
      </c>
      <c r="M119" s="39">
        <v>-0.42259999999999964</v>
      </c>
    </row>
    <row r="120" spans="1:25" ht="15" thickBot="1" x14ac:dyDescent="0.35">
      <c r="A120" s="14" t="s">
        <v>10</v>
      </c>
      <c r="B120" s="13">
        <v>-0.57740000000000002</v>
      </c>
      <c r="C120" s="13"/>
      <c r="D120" s="40">
        <f>-0.5*(1-B118-B119)</f>
        <v>-0.25</v>
      </c>
      <c r="E120" s="41">
        <f>-0.5*B118</f>
        <v>-0.25</v>
      </c>
      <c r="F120" s="41">
        <f>-0.5*B119</f>
        <v>0</v>
      </c>
      <c r="G120" s="41">
        <f>0.5*(1-B118-B119)</f>
        <v>0.25</v>
      </c>
      <c r="H120" s="41">
        <f>0.5*B118</f>
        <v>0.25</v>
      </c>
      <c r="I120" s="42">
        <f>0.5*B119</f>
        <v>0</v>
      </c>
      <c r="J120" s="13"/>
      <c r="K120" s="40">
        <v>-0.5</v>
      </c>
      <c r="L120" s="41">
        <v>0</v>
      </c>
      <c r="M120" s="42">
        <v>5.5</v>
      </c>
    </row>
    <row r="122" spans="1:25" x14ac:dyDescent="0.3">
      <c r="D122" s="13" t="s">
        <v>49</v>
      </c>
      <c r="E122" s="13" t="s">
        <v>50</v>
      </c>
      <c r="F122" s="13" t="s">
        <v>51</v>
      </c>
      <c r="G122" s="13" t="s">
        <v>52</v>
      </c>
      <c r="H122" s="13" t="s">
        <v>53</v>
      </c>
      <c r="I122" s="13" t="s">
        <v>54</v>
      </c>
      <c r="K122" s="13" t="s">
        <v>72</v>
      </c>
      <c r="M122" s="13" t="s">
        <v>73</v>
      </c>
      <c r="T122" s="13" t="s">
        <v>74</v>
      </c>
    </row>
    <row r="123" spans="1:25" x14ac:dyDescent="0.3">
      <c r="D123">
        <f>(1-B118-B119)*(1-B120)/2</f>
        <v>0.39434999999999998</v>
      </c>
      <c r="E123">
        <f>B118*(1-B120)/2</f>
        <v>0.39434999999999998</v>
      </c>
      <c r="F123">
        <f>B119*(1-B120)/2</f>
        <v>0</v>
      </c>
      <c r="G123">
        <f>(1-B118-B119)*(1+B120)/2</f>
        <v>0.10564999999999999</v>
      </c>
      <c r="H123">
        <f>B118*(1+B120)/2</f>
        <v>0.10564999999999999</v>
      </c>
      <c r="I123">
        <f>B119*(1+B120)/2</f>
        <v>0</v>
      </c>
      <c r="K123">
        <f t="array" ref="K123:K128">TRANSPOSE(D123:I123)</f>
        <v>0.39434999999999998</v>
      </c>
      <c r="M123">
        <f t="array" ref="M123:R128">MMULT(K123:K128,D123:I123)</f>
        <v>0.15551192249999998</v>
      </c>
      <c r="N123">
        <v>0.15551192249999998</v>
      </c>
      <c r="O123">
        <v>0</v>
      </c>
      <c r="P123">
        <v>4.1663077499999993E-2</v>
      </c>
      <c r="Q123">
        <v>4.1663077499999993E-2</v>
      </c>
      <c r="R123">
        <v>0</v>
      </c>
      <c r="T123">
        <f t="shared" ref="T123:T128" si="13">M123*$Q$118</f>
        <v>16.449118090514997</v>
      </c>
      <c r="U123">
        <f t="shared" ref="U123:Y128" si="14">N123*$Q$118</f>
        <v>16.449118090514997</v>
      </c>
      <c r="V123">
        <f t="shared" si="14"/>
        <v>0</v>
      </c>
      <c r="W123">
        <f t="shared" si="14"/>
        <v>4.4068703594849987</v>
      </c>
      <c r="X123">
        <f t="shared" si="14"/>
        <v>4.4068703594849987</v>
      </c>
      <c r="Y123">
        <f t="shared" si="14"/>
        <v>0</v>
      </c>
    </row>
    <row r="124" spans="1:25" x14ac:dyDescent="0.3">
      <c r="K124">
        <v>0.39434999999999998</v>
      </c>
      <c r="M124">
        <v>0.15551192249999998</v>
      </c>
      <c r="N124">
        <v>0.15551192249999998</v>
      </c>
      <c r="O124">
        <v>0</v>
      </c>
      <c r="P124">
        <v>4.1663077499999993E-2</v>
      </c>
      <c r="Q124">
        <v>4.1663077499999993E-2</v>
      </c>
      <c r="R124">
        <v>0</v>
      </c>
      <c r="T124">
        <f t="shared" si="13"/>
        <v>16.449118090514997</v>
      </c>
      <c r="U124">
        <f t="shared" si="14"/>
        <v>16.449118090514997</v>
      </c>
      <c r="V124">
        <f t="shared" si="14"/>
        <v>0</v>
      </c>
      <c r="W124">
        <f t="shared" si="14"/>
        <v>4.4068703594849987</v>
      </c>
      <c r="X124">
        <f t="shared" si="14"/>
        <v>4.4068703594849987</v>
      </c>
      <c r="Y124">
        <f t="shared" si="14"/>
        <v>0</v>
      </c>
    </row>
    <row r="125" spans="1:25" x14ac:dyDescent="0.3">
      <c r="D125">
        <f>SUM(D123:I123)</f>
        <v>1</v>
      </c>
      <c r="K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T125">
        <f t="shared" si="13"/>
        <v>0</v>
      </c>
      <c r="U125">
        <f t="shared" si="14"/>
        <v>0</v>
      </c>
      <c r="V125">
        <f t="shared" si="14"/>
        <v>0</v>
      </c>
      <c r="W125">
        <f t="shared" si="14"/>
        <v>0</v>
      </c>
      <c r="X125">
        <f t="shared" si="14"/>
        <v>0</v>
      </c>
      <c r="Y125">
        <f t="shared" si="14"/>
        <v>0</v>
      </c>
    </row>
    <row r="126" spans="1:25" x14ac:dyDescent="0.3">
      <c r="K126">
        <v>0.10564999999999999</v>
      </c>
      <c r="M126">
        <v>4.1663077499999993E-2</v>
      </c>
      <c r="N126">
        <v>4.1663077499999993E-2</v>
      </c>
      <c r="O126">
        <v>0</v>
      </c>
      <c r="P126">
        <v>1.1161922499999999E-2</v>
      </c>
      <c r="Q126">
        <v>1.1161922499999999E-2</v>
      </c>
      <c r="R126">
        <v>0</v>
      </c>
      <c r="T126">
        <f t="shared" si="13"/>
        <v>4.4068703594849987</v>
      </c>
      <c r="U126">
        <f t="shared" si="14"/>
        <v>4.4068703594849987</v>
      </c>
      <c r="V126">
        <f t="shared" si="14"/>
        <v>0</v>
      </c>
      <c r="W126">
        <f t="shared" si="14"/>
        <v>1.1806411905149998</v>
      </c>
      <c r="X126">
        <f t="shared" si="14"/>
        <v>1.1806411905149998</v>
      </c>
      <c r="Y126">
        <f t="shared" si="14"/>
        <v>0</v>
      </c>
    </row>
    <row r="127" spans="1:25" x14ac:dyDescent="0.3">
      <c r="K127">
        <v>0.10564999999999999</v>
      </c>
      <c r="M127">
        <v>4.1663077499999993E-2</v>
      </c>
      <c r="N127">
        <v>4.1663077499999993E-2</v>
      </c>
      <c r="O127">
        <v>0</v>
      </c>
      <c r="P127">
        <v>1.1161922499999999E-2</v>
      </c>
      <c r="Q127">
        <v>1.1161922499999999E-2</v>
      </c>
      <c r="R127">
        <v>0</v>
      </c>
      <c r="T127">
        <f t="shared" si="13"/>
        <v>4.4068703594849987</v>
      </c>
      <c r="U127">
        <f t="shared" si="14"/>
        <v>4.4068703594849987</v>
      </c>
      <c r="V127">
        <f t="shared" si="14"/>
        <v>0</v>
      </c>
      <c r="W127">
        <f t="shared" si="14"/>
        <v>1.1806411905149998</v>
      </c>
      <c r="X127">
        <f t="shared" si="14"/>
        <v>1.1806411905149998</v>
      </c>
      <c r="Y127">
        <f t="shared" si="14"/>
        <v>0</v>
      </c>
    </row>
    <row r="128" spans="1:25" x14ac:dyDescent="0.3">
      <c r="K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T128">
        <f t="shared" si="13"/>
        <v>0</v>
      </c>
      <c r="U128">
        <f t="shared" si="14"/>
        <v>0</v>
      </c>
      <c r="V128">
        <f t="shared" si="14"/>
        <v>0</v>
      </c>
      <c r="W128">
        <f t="shared" si="14"/>
        <v>0</v>
      </c>
      <c r="X128">
        <f t="shared" si="14"/>
        <v>0</v>
      </c>
      <c r="Y128">
        <f t="shared" si="14"/>
        <v>0</v>
      </c>
    </row>
    <row r="130" spans="1:25" x14ac:dyDescent="0.3">
      <c r="A130" s="65" t="s">
        <v>102</v>
      </c>
    </row>
    <row r="131" spans="1:25" ht="15" thickBot="1" x14ac:dyDescent="0.35">
      <c r="A131" t="s">
        <v>33</v>
      </c>
      <c r="B131" t="s">
        <v>28</v>
      </c>
      <c r="D131" t="s">
        <v>48</v>
      </c>
      <c r="J131" s="13"/>
      <c r="K131" t="s">
        <v>41</v>
      </c>
      <c r="O131" t="s">
        <v>70</v>
      </c>
      <c r="Q131" t="s">
        <v>71</v>
      </c>
    </row>
    <row r="132" spans="1:25" x14ac:dyDescent="0.3">
      <c r="A132" s="14" t="s">
        <v>8</v>
      </c>
      <c r="B132" s="13">
        <v>0</v>
      </c>
      <c r="C132" s="13"/>
      <c r="D132" s="34">
        <f>-(1-B134)/2</f>
        <v>-0.78869999999999996</v>
      </c>
      <c r="E132" s="35">
        <f>(1-B134)/2</f>
        <v>0.78869999999999996</v>
      </c>
      <c r="F132" s="35">
        <v>0</v>
      </c>
      <c r="G132" s="35">
        <f>-(1+B134)/2</f>
        <v>-0.21129999999999999</v>
      </c>
      <c r="H132" s="35">
        <f>(1+B134)/2</f>
        <v>0.21129999999999999</v>
      </c>
      <c r="I132" s="36">
        <v>0</v>
      </c>
      <c r="J132" s="13"/>
      <c r="K132" s="34">
        <f t="array" ref="K132:M134">MMULT(D132:I134,$A$3:$C$8)</f>
        <v>11.577399999999999</v>
      </c>
      <c r="L132" s="35">
        <v>0</v>
      </c>
      <c r="M132" s="36">
        <v>-0.42259999999999964</v>
      </c>
      <c r="O132">
        <f>MDETERM(K132:M134)</f>
        <v>636.75699999999995</v>
      </c>
      <c r="Q132">
        <f>O132/6</f>
        <v>106.12616666666666</v>
      </c>
    </row>
    <row r="133" spans="1:25" x14ac:dyDescent="0.3">
      <c r="A133" s="14" t="s">
        <v>9</v>
      </c>
      <c r="B133" s="13">
        <f>1/2</f>
        <v>0.5</v>
      </c>
      <c r="C133" s="13"/>
      <c r="D133" s="37">
        <f>-(1-B134)/2</f>
        <v>-0.78869999999999996</v>
      </c>
      <c r="E133" s="38">
        <v>0</v>
      </c>
      <c r="F133" s="38">
        <f>(1-B134)/2</f>
        <v>0.78869999999999996</v>
      </c>
      <c r="G133" s="38">
        <f>-(1+B134)/2</f>
        <v>-0.21129999999999999</v>
      </c>
      <c r="H133" s="38">
        <v>0</v>
      </c>
      <c r="I133" s="39">
        <f>(1+B134)/2</f>
        <v>0.21129999999999999</v>
      </c>
      <c r="J133" s="13"/>
      <c r="K133" s="37">
        <v>0</v>
      </c>
      <c r="L133" s="38">
        <v>10</v>
      </c>
      <c r="M133" s="39">
        <v>-0.42259999999999964</v>
      </c>
    </row>
    <row r="134" spans="1:25" ht="15" thickBot="1" x14ac:dyDescent="0.35">
      <c r="A134" s="14" t="s">
        <v>10</v>
      </c>
      <c r="B134" s="13">
        <v>-0.57740000000000002</v>
      </c>
      <c r="C134" s="13"/>
      <c r="D134" s="40">
        <f>-0.5*(1-B132-B133)</f>
        <v>-0.25</v>
      </c>
      <c r="E134" s="41">
        <f>-0.5*B132</f>
        <v>0</v>
      </c>
      <c r="F134" s="41">
        <f>-0.5*B133</f>
        <v>-0.25</v>
      </c>
      <c r="G134" s="41">
        <f>0.5*(1-B132-B133)</f>
        <v>0.25</v>
      </c>
      <c r="H134" s="41">
        <f>0.5*B132</f>
        <v>0</v>
      </c>
      <c r="I134" s="42">
        <f>0.5*B133</f>
        <v>0.25</v>
      </c>
      <c r="J134" s="13"/>
      <c r="K134" s="40">
        <v>0</v>
      </c>
      <c r="L134" s="41">
        <v>0</v>
      </c>
      <c r="M134" s="42">
        <v>5.5</v>
      </c>
    </row>
    <row r="136" spans="1:25" x14ac:dyDescent="0.3">
      <c r="D136" s="13" t="s">
        <v>49</v>
      </c>
      <c r="E136" s="13" t="s">
        <v>50</v>
      </c>
      <c r="F136" s="13" t="s">
        <v>51</v>
      </c>
      <c r="G136" s="13" t="s">
        <v>52</v>
      </c>
      <c r="H136" s="13" t="s">
        <v>53</v>
      </c>
      <c r="I136" s="13" t="s">
        <v>54</v>
      </c>
      <c r="K136" s="13" t="s">
        <v>72</v>
      </c>
      <c r="M136" s="13" t="s">
        <v>73</v>
      </c>
      <c r="T136" s="13" t="s">
        <v>74</v>
      </c>
    </row>
    <row r="137" spans="1:25" x14ac:dyDescent="0.3">
      <c r="D137">
        <f>(1-B132-B133)*(1-B134)/2</f>
        <v>0.39434999999999998</v>
      </c>
      <c r="E137">
        <f>B132*(1-B134)/2</f>
        <v>0</v>
      </c>
      <c r="F137">
        <f>B133*(1-B134)/2</f>
        <v>0.39434999999999998</v>
      </c>
      <c r="G137">
        <f>(1-B132-B133)*(1+B134)/2</f>
        <v>0.10564999999999999</v>
      </c>
      <c r="H137">
        <f>B132*(1+B134)/2</f>
        <v>0</v>
      </c>
      <c r="I137">
        <f>B133*(1+B134)/2</f>
        <v>0.10564999999999999</v>
      </c>
      <c r="K137">
        <f t="array" ref="K137:K142">TRANSPOSE(D137:I137)</f>
        <v>0.39434999999999998</v>
      </c>
      <c r="M137">
        <f t="array" ref="M137:R142">MMULT(K137:K142,D137:I137)</f>
        <v>0.15551192249999998</v>
      </c>
      <c r="N137">
        <v>0</v>
      </c>
      <c r="O137">
        <v>0.15551192249999998</v>
      </c>
      <c r="P137">
        <v>4.1663077499999993E-2</v>
      </c>
      <c r="Q137">
        <v>0</v>
      </c>
      <c r="R137">
        <v>4.1663077499999993E-2</v>
      </c>
      <c r="T137">
        <f t="shared" ref="T137:T142" si="15">M137*$Q$132</f>
        <v>16.503884205888749</v>
      </c>
      <c r="U137">
        <f t="shared" ref="U137:Y142" si="16">N137*$Q$132</f>
        <v>0</v>
      </c>
      <c r="V137">
        <f t="shared" si="16"/>
        <v>16.503884205888749</v>
      </c>
      <c r="W137">
        <f t="shared" si="16"/>
        <v>4.4215427066112492</v>
      </c>
      <c r="X137">
        <f t="shared" si="16"/>
        <v>0</v>
      </c>
      <c r="Y137">
        <f t="shared" si="16"/>
        <v>4.4215427066112492</v>
      </c>
    </row>
    <row r="138" spans="1:25" x14ac:dyDescent="0.3">
      <c r="K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T138">
        <f t="shared" si="15"/>
        <v>0</v>
      </c>
      <c r="U138">
        <f t="shared" si="16"/>
        <v>0</v>
      </c>
      <c r="V138">
        <f t="shared" si="16"/>
        <v>0</v>
      </c>
      <c r="W138">
        <f t="shared" si="16"/>
        <v>0</v>
      </c>
      <c r="X138">
        <f t="shared" si="16"/>
        <v>0</v>
      </c>
      <c r="Y138">
        <f t="shared" si="16"/>
        <v>0</v>
      </c>
    </row>
    <row r="139" spans="1:25" x14ac:dyDescent="0.3">
      <c r="D139">
        <f>SUM(D137:I137)</f>
        <v>1</v>
      </c>
      <c r="K139">
        <v>0.39434999999999998</v>
      </c>
      <c r="M139">
        <v>0.15551192249999998</v>
      </c>
      <c r="N139">
        <v>0</v>
      </c>
      <c r="O139">
        <v>0.15551192249999998</v>
      </c>
      <c r="P139">
        <v>4.1663077499999993E-2</v>
      </c>
      <c r="Q139">
        <v>0</v>
      </c>
      <c r="R139">
        <v>4.1663077499999993E-2</v>
      </c>
      <c r="T139">
        <f t="shared" si="15"/>
        <v>16.503884205888749</v>
      </c>
      <c r="U139">
        <f t="shared" si="16"/>
        <v>0</v>
      </c>
      <c r="V139">
        <f t="shared" si="16"/>
        <v>16.503884205888749</v>
      </c>
      <c r="W139">
        <f t="shared" si="16"/>
        <v>4.4215427066112492</v>
      </c>
      <c r="X139">
        <f t="shared" si="16"/>
        <v>0</v>
      </c>
      <c r="Y139">
        <f t="shared" si="16"/>
        <v>4.4215427066112492</v>
      </c>
    </row>
    <row r="140" spans="1:25" x14ac:dyDescent="0.3">
      <c r="K140">
        <v>0.10564999999999999</v>
      </c>
      <c r="M140">
        <v>4.1663077499999993E-2</v>
      </c>
      <c r="N140">
        <v>0</v>
      </c>
      <c r="O140">
        <v>4.1663077499999993E-2</v>
      </c>
      <c r="P140">
        <v>1.1161922499999999E-2</v>
      </c>
      <c r="Q140">
        <v>0</v>
      </c>
      <c r="R140">
        <v>1.1161922499999999E-2</v>
      </c>
      <c r="T140">
        <f t="shared" si="15"/>
        <v>4.4215427066112492</v>
      </c>
      <c r="U140">
        <f t="shared" si="16"/>
        <v>0</v>
      </c>
      <c r="V140">
        <f t="shared" si="16"/>
        <v>4.4215427066112492</v>
      </c>
      <c r="W140">
        <f t="shared" si="16"/>
        <v>1.1845720475554165</v>
      </c>
      <c r="X140">
        <f t="shared" si="16"/>
        <v>0</v>
      </c>
      <c r="Y140">
        <f t="shared" si="16"/>
        <v>1.1845720475554165</v>
      </c>
    </row>
    <row r="141" spans="1:25" x14ac:dyDescent="0.3">
      <c r="K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T141">
        <f t="shared" si="15"/>
        <v>0</v>
      </c>
      <c r="U141">
        <f t="shared" si="16"/>
        <v>0</v>
      </c>
      <c r="V141">
        <f t="shared" si="16"/>
        <v>0</v>
      </c>
      <c r="W141">
        <f t="shared" si="16"/>
        <v>0</v>
      </c>
      <c r="X141">
        <f t="shared" si="16"/>
        <v>0</v>
      </c>
      <c r="Y141">
        <f t="shared" si="16"/>
        <v>0</v>
      </c>
    </row>
    <row r="142" spans="1:25" x14ac:dyDescent="0.3">
      <c r="K142">
        <v>0.10564999999999999</v>
      </c>
      <c r="M142">
        <v>4.1663077499999993E-2</v>
      </c>
      <c r="N142">
        <v>0</v>
      </c>
      <c r="O142">
        <v>4.1663077499999993E-2</v>
      </c>
      <c r="P142">
        <v>1.1161922499999999E-2</v>
      </c>
      <c r="Q142">
        <v>0</v>
      </c>
      <c r="R142">
        <v>1.1161922499999999E-2</v>
      </c>
      <c r="T142">
        <f t="shared" si="15"/>
        <v>4.4215427066112492</v>
      </c>
      <c r="U142">
        <f t="shared" si="16"/>
        <v>0</v>
      </c>
      <c r="V142">
        <f t="shared" si="16"/>
        <v>4.4215427066112492</v>
      </c>
      <c r="W142">
        <f t="shared" si="16"/>
        <v>1.1845720475554165</v>
      </c>
      <c r="X142">
        <f t="shared" si="16"/>
        <v>0</v>
      </c>
      <c r="Y142">
        <f t="shared" si="16"/>
        <v>1.1845720475554165</v>
      </c>
    </row>
    <row r="144" spans="1:25" x14ac:dyDescent="0.3">
      <c r="A144" s="65" t="s">
        <v>103</v>
      </c>
    </row>
    <row r="145" spans="1:25" ht="15" thickBot="1" x14ac:dyDescent="0.35">
      <c r="A145" t="s">
        <v>33</v>
      </c>
      <c r="B145" t="s">
        <v>28</v>
      </c>
      <c r="D145" t="s">
        <v>48</v>
      </c>
      <c r="J145" s="13"/>
      <c r="K145" t="s">
        <v>41</v>
      </c>
      <c r="O145" t="s">
        <v>70</v>
      </c>
      <c r="Q145" t="s">
        <v>71</v>
      </c>
    </row>
    <row r="146" spans="1:25" x14ac:dyDescent="0.3">
      <c r="A146" s="14" t="s">
        <v>8</v>
      </c>
      <c r="B146" s="13">
        <v>0.5</v>
      </c>
      <c r="C146" s="13"/>
      <c r="D146" s="34">
        <f>-(1-B148)/2</f>
        <v>-0.78869999999999996</v>
      </c>
      <c r="E146" s="35">
        <f>(1-B148)/2</f>
        <v>0.78869999999999996</v>
      </c>
      <c r="F146" s="35">
        <v>0</v>
      </c>
      <c r="G146" s="35">
        <f>-(1+B148)/2</f>
        <v>-0.21129999999999999</v>
      </c>
      <c r="H146" s="35">
        <f>(1+B148)/2</f>
        <v>0.21129999999999999</v>
      </c>
      <c r="I146" s="36">
        <v>0</v>
      </c>
      <c r="J146" s="13"/>
      <c r="K146" s="34">
        <f t="array" ref="K146:M148">MMULT(D146:I148,$A$3:$C$8)</f>
        <v>11.577399999999999</v>
      </c>
      <c r="L146" s="35">
        <v>0</v>
      </c>
      <c r="M146" s="36">
        <v>-0.42259999999999964</v>
      </c>
      <c r="O146">
        <f>MDETERM(K146:M148)</f>
        <v>576.75699999999995</v>
      </c>
      <c r="Q146">
        <f>O146/6</f>
        <v>96.126166666666663</v>
      </c>
    </row>
    <row r="147" spans="1:25" x14ac:dyDescent="0.3">
      <c r="A147" s="14" t="s">
        <v>9</v>
      </c>
      <c r="B147" s="13">
        <v>0.5</v>
      </c>
      <c r="C147" s="13"/>
      <c r="D147" s="37">
        <f>-(1-B148)/2</f>
        <v>-0.78869999999999996</v>
      </c>
      <c r="E147" s="38">
        <v>0</v>
      </c>
      <c r="F147" s="38">
        <f>(1-B148)/2</f>
        <v>0.78869999999999996</v>
      </c>
      <c r="G147" s="38">
        <f>-(1+B148)/2</f>
        <v>-0.21129999999999999</v>
      </c>
      <c r="H147" s="38">
        <v>0</v>
      </c>
      <c r="I147" s="39">
        <f>(1+B148)/2</f>
        <v>0.21129999999999999</v>
      </c>
      <c r="J147" s="13"/>
      <c r="K147" s="37">
        <v>0</v>
      </c>
      <c r="L147" s="38">
        <v>10</v>
      </c>
      <c r="M147" s="39">
        <v>-0.42259999999999964</v>
      </c>
    </row>
    <row r="148" spans="1:25" ht="15" thickBot="1" x14ac:dyDescent="0.35">
      <c r="A148" s="14" t="s">
        <v>10</v>
      </c>
      <c r="B148" s="13">
        <v>-0.57740000000000002</v>
      </c>
      <c r="C148" s="13"/>
      <c r="D148" s="40">
        <f>-0.5*(1-B146-B147)</f>
        <v>0</v>
      </c>
      <c r="E148" s="41">
        <f>-0.5*B146</f>
        <v>-0.25</v>
      </c>
      <c r="F148" s="41">
        <f>-0.5*B147</f>
        <v>-0.25</v>
      </c>
      <c r="G148" s="41">
        <f>0.5*(1-B146-B147)</f>
        <v>0</v>
      </c>
      <c r="H148" s="41">
        <f>0.5*B146</f>
        <v>0.25</v>
      </c>
      <c r="I148" s="42">
        <f>0.5*B147</f>
        <v>0.25</v>
      </c>
      <c r="J148" s="13"/>
      <c r="K148" s="40">
        <v>-0.5</v>
      </c>
      <c r="L148" s="41">
        <v>0</v>
      </c>
      <c r="M148" s="42">
        <v>5</v>
      </c>
    </row>
    <row r="150" spans="1:25" x14ac:dyDescent="0.3">
      <c r="D150" s="13" t="s">
        <v>49</v>
      </c>
      <c r="E150" s="13" t="s">
        <v>50</v>
      </c>
      <c r="F150" s="13" t="s">
        <v>51</v>
      </c>
      <c r="G150" s="13" t="s">
        <v>52</v>
      </c>
      <c r="H150" s="13" t="s">
        <v>53</v>
      </c>
      <c r="I150" s="13" t="s">
        <v>54</v>
      </c>
      <c r="K150" s="13" t="s">
        <v>72</v>
      </c>
      <c r="M150" s="13" t="s">
        <v>73</v>
      </c>
      <c r="T150" s="13" t="s">
        <v>74</v>
      </c>
    </row>
    <row r="151" spans="1:25" x14ac:dyDescent="0.3">
      <c r="D151">
        <f>(1-B146-B147)*(1-B148)/2</f>
        <v>0</v>
      </c>
      <c r="E151">
        <f>B146*(1-B148)/2</f>
        <v>0.39434999999999998</v>
      </c>
      <c r="F151">
        <f>B147*(1-B148)/2</f>
        <v>0.39434999999999998</v>
      </c>
      <c r="G151">
        <f>(1-B146-B147)*(1+B148)/2</f>
        <v>0</v>
      </c>
      <c r="H151">
        <f>B146*(1+B148)/2</f>
        <v>0.10564999999999999</v>
      </c>
      <c r="I151">
        <f>B147*(1+B148)/2</f>
        <v>0.10564999999999999</v>
      </c>
      <c r="K151">
        <f t="array" ref="K151:K156">TRANSPOSE(D151:I151)</f>
        <v>0</v>
      </c>
      <c r="M151">
        <f t="array" ref="M151:R156">MMULT(K151:K156,D151:I151)</f>
        <v>0</v>
      </c>
      <c r="N151">
        <v>0</v>
      </c>
      <c r="O151">
        <v>0</v>
      </c>
      <c r="P151">
        <v>0</v>
      </c>
      <c r="Q151">
        <v>0</v>
      </c>
      <c r="R151">
        <v>0</v>
      </c>
      <c r="T151">
        <f t="shared" ref="T151:T156" si="17">M151*$Q$146</f>
        <v>0</v>
      </c>
      <c r="U151">
        <f t="shared" ref="U151:Y156" si="18">N151*$Q$146</f>
        <v>0</v>
      </c>
      <c r="V151">
        <f t="shared" si="18"/>
        <v>0</v>
      </c>
      <c r="W151">
        <f t="shared" si="18"/>
        <v>0</v>
      </c>
      <c r="X151">
        <f t="shared" si="18"/>
        <v>0</v>
      </c>
      <c r="Y151">
        <f t="shared" si="18"/>
        <v>0</v>
      </c>
    </row>
    <row r="152" spans="1:25" x14ac:dyDescent="0.3">
      <c r="K152">
        <v>0.39434999999999998</v>
      </c>
      <c r="M152">
        <v>0</v>
      </c>
      <c r="N152">
        <v>0.15551192249999998</v>
      </c>
      <c r="O152">
        <v>0.15551192249999998</v>
      </c>
      <c r="P152">
        <v>0</v>
      </c>
      <c r="Q152">
        <v>4.1663077499999993E-2</v>
      </c>
      <c r="R152">
        <v>4.1663077499999993E-2</v>
      </c>
      <c r="T152">
        <f t="shared" si="17"/>
        <v>0</v>
      </c>
      <c r="U152">
        <f t="shared" si="18"/>
        <v>14.948764980888749</v>
      </c>
      <c r="V152">
        <f t="shared" si="18"/>
        <v>14.948764980888749</v>
      </c>
      <c r="W152">
        <f t="shared" si="18"/>
        <v>0</v>
      </c>
      <c r="X152">
        <f t="shared" si="18"/>
        <v>4.0049119316112494</v>
      </c>
      <c r="Y152">
        <f t="shared" si="18"/>
        <v>4.0049119316112494</v>
      </c>
    </row>
    <row r="153" spans="1:25" x14ac:dyDescent="0.3">
      <c r="D153">
        <f>SUM(D151:I151)</f>
        <v>1</v>
      </c>
      <c r="K153">
        <v>0.39434999999999998</v>
      </c>
      <c r="M153">
        <v>0</v>
      </c>
      <c r="N153">
        <v>0.15551192249999998</v>
      </c>
      <c r="O153">
        <v>0.15551192249999998</v>
      </c>
      <c r="P153">
        <v>0</v>
      </c>
      <c r="Q153">
        <v>4.1663077499999993E-2</v>
      </c>
      <c r="R153">
        <v>4.1663077499999993E-2</v>
      </c>
      <c r="T153">
        <f t="shared" si="17"/>
        <v>0</v>
      </c>
      <c r="U153">
        <f t="shared" si="18"/>
        <v>14.948764980888749</v>
      </c>
      <c r="V153">
        <f t="shared" si="18"/>
        <v>14.948764980888749</v>
      </c>
      <c r="W153">
        <f t="shared" si="18"/>
        <v>0</v>
      </c>
      <c r="X153">
        <f t="shared" si="18"/>
        <v>4.0049119316112494</v>
      </c>
      <c r="Y153">
        <f t="shared" si="18"/>
        <v>4.0049119316112494</v>
      </c>
    </row>
    <row r="154" spans="1:25" x14ac:dyDescent="0.3">
      <c r="K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T154">
        <f t="shared" si="17"/>
        <v>0</v>
      </c>
      <c r="U154">
        <f t="shared" si="18"/>
        <v>0</v>
      </c>
      <c r="V154">
        <f t="shared" si="18"/>
        <v>0</v>
      </c>
      <c r="W154">
        <f t="shared" si="18"/>
        <v>0</v>
      </c>
      <c r="X154">
        <f t="shared" si="18"/>
        <v>0</v>
      </c>
      <c r="Y154">
        <f t="shared" si="18"/>
        <v>0</v>
      </c>
    </row>
    <row r="155" spans="1:25" x14ac:dyDescent="0.3">
      <c r="K155">
        <v>0.10564999999999999</v>
      </c>
      <c r="M155">
        <v>0</v>
      </c>
      <c r="N155">
        <v>4.1663077499999993E-2</v>
      </c>
      <c r="O155">
        <v>4.1663077499999993E-2</v>
      </c>
      <c r="P155">
        <v>0</v>
      </c>
      <c r="Q155">
        <v>1.1161922499999999E-2</v>
      </c>
      <c r="R155">
        <v>1.1161922499999999E-2</v>
      </c>
      <c r="T155">
        <f t="shared" si="17"/>
        <v>0</v>
      </c>
      <c r="U155">
        <f t="shared" si="18"/>
        <v>4.0049119316112494</v>
      </c>
      <c r="V155">
        <f t="shared" si="18"/>
        <v>4.0049119316112494</v>
      </c>
      <c r="W155">
        <f t="shared" si="18"/>
        <v>0</v>
      </c>
      <c r="X155">
        <f t="shared" si="18"/>
        <v>1.0729528225554166</v>
      </c>
      <c r="Y155">
        <f t="shared" si="18"/>
        <v>1.0729528225554166</v>
      </c>
    </row>
    <row r="156" spans="1:25" x14ac:dyDescent="0.3">
      <c r="K156">
        <v>0.10564999999999999</v>
      </c>
      <c r="M156">
        <v>0</v>
      </c>
      <c r="N156">
        <v>4.1663077499999993E-2</v>
      </c>
      <c r="O156">
        <v>4.1663077499999993E-2</v>
      </c>
      <c r="P156">
        <v>0</v>
      </c>
      <c r="Q156">
        <v>1.1161922499999999E-2</v>
      </c>
      <c r="R156">
        <v>1.1161922499999999E-2</v>
      </c>
      <c r="T156">
        <f t="shared" si="17"/>
        <v>0</v>
      </c>
      <c r="U156">
        <f t="shared" si="18"/>
        <v>4.0049119316112494</v>
      </c>
      <c r="V156">
        <f t="shared" si="18"/>
        <v>4.0049119316112494</v>
      </c>
      <c r="W156">
        <f t="shared" si="18"/>
        <v>0</v>
      </c>
      <c r="X156">
        <f t="shared" si="18"/>
        <v>1.0729528225554166</v>
      </c>
      <c r="Y156">
        <f t="shared" si="18"/>
        <v>1.0729528225554166</v>
      </c>
    </row>
    <row r="158" spans="1:25" x14ac:dyDescent="0.3">
      <c r="T158">
        <f t="shared" ref="T158:Y158" si="19">SUM(T81+T95+T109+T123+T137+T151)</f>
        <v>35.071161262499999</v>
      </c>
      <c r="U158">
        <f t="shared" si="19"/>
        <v>17.500861399999998</v>
      </c>
      <c r="V158">
        <f t="shared" si="19"/>
        <v>17.570299862500001</v>
      </c>
      <c r="W158">
        <f t="shared" si="19"/>
        <v>16.734669462499994</v>
      </c>
      <c r="X158">
        <f t="shared" si="19"/>
        <v>8.3326154999999975</v>
      </c>
      <c r="Y158">
        <f t="shared" si="19"/>
        <v>8.4020539624999984</v>
      </c>
    </row>
    <row r="159" spans="1:25" x14ac:dyDescent="0.3">
      <c r="T159">
        <f t="shared" ref="T159:Y163" si="20">SUM(T82+T96+T110+T124+T138+T152)</f>
        <v>17.500861399999998</v>
      </c>
      <c r="U159">
        <f t="shared" si="20"/>
        <v>33.404422812499995</v>
      </c>
      <c r="V159">
        <f t="shared" si="20"/>
        <v>15.903561412499998</v>
      </c>
      <c r="W159">
        <f t="shared" si="20"/>
        <v>8.3326154999999975</v>
      </c>
      <c r="X159">
        <f t="shared" si="20"/>
        <v>15.901407912499998</v>
      </c>
      <c r="Y159">
        <f t="shared" si="20"/>
        <v>7.5687924124999988</v>
      </c>
    </row>
    <row r="160" spans="1:25" x14ac:dyDescent="0.3">
      <c r="T160">
        <f t="shared" si="20"/>
        <v>17.570299862500001</v>
      </c>
      <c r="U160">
        <f t="shared" si="20"/>
        <v>15.903561412499998</v>
      </c>
      <c r="V160">
        <f t="shared" si="20"/>
        <v>33.473861274999997</v>
      </c>
      <c r="W160">
        <f t="shared" si="20"/>
        <v>8.4020539624999984</v>
      </c>
      <c r="X160">
        <f t="shared" si="20"/>
        <v>7.5687924124999988</v>
      </c>
      <c r="Y160">
        <f t="shared" si="20"/>
        <v>15.970846374999997</v>
      </c>
    </row>
    <row r="161" spans="20:25" x14ac:dyDescent="0.3">
      <c r="T161">
        <f t="shared" si="20"/>
        <v>16.734669462499994</v>
      </c>
      <c r="U161">
        <f t="shared" si="20"/>
        <v>8.3326154999999975</v>
      </c>
      <c r="V161">
        <f t="shared" si="20"/>
        <v>8.4020539624999984</v>
      </c>
      <c r="W161">
        <f t="shared" si="20"/>
        <v>31.876166479166663</v>
      </c>
      <c r="X161">
        <f t="shared" si="20"/>
        <v>15.833907599999996</v>
      </c>
      <c r="Y161">
        <f t="shared" si="20"/>
        <v>16.042258879166663</v>
      </c>
    </row>
    <row r="162" spans="20:25" x14ac:dyDescent="0.3">
      <c r="T162">
        <f t="shared" si="20"/>
        <v>8.3326154999999975</v>
      </c>
      <c r="U162">
        <f t="shared" si="20"/>
        <v>15.901407912499998</v>
      </c>
      <c r="V162">
        <f t="shared" si="20"/>
        <v>7.5687924124999988</v>
      </c>
      <c r="W162">
        <f t="shared" si="20"/>
        <v>15.833907599999996</v>
      </c>
      <c r="X162">
        <f t="shared" si="20"/>
        <v>30.209428029166666</v>
      </c>
      <c r="Y162">
        <f t="shared" si="20"/>
        <v>14.375520429166667</v>
      </c>
    </row>
    <row r="163" spans="20:25" x14ac:dyDescent="0.3">
      <c r="T163">
        <f t="shared" si="20"/>
        <v>8.4020539624999984</v>
      </c>
      <c r="U163">
        <f t="shared" si="20"/>
        <v>7.5687924124999988</v>
      </c>
      <c r="V163">
        <f t="shared" si="20"/>
        <v>15.970846374999997</v>
      </c>
      <c r="W163">
        <f t="shared" si="20"/>
        <v>16.042258879166663</v>
      </c>
      <c r="X163">
        <f t="shared" si="20"/>
        <v>14.375520429166667</v>
      </c>
      <c r="Y163">
        <f t="shared" si="20"/>
        <v>30.41777930833333</v>
      </c>
    </row>
    <row r="165" spans="20:25" x14ac:dyDescent="0.3">
      <c r="T165" s="72">
        <f>SUM(T158:T163)</f>
        <v>103.61166144999999</v>
      </c>
    </row>
  </sheetData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F157"/>
  <sheetViews>
    <sheetView topLeftCell="A106" zoomScale="90" zoomScaleNormal="90" workbookViewId="0">
      <selection activeCell="P125" sqref="P125:W132"/>
    </sheetView>
  </sheetViews>
  <sheetFormatPr defaultRowHeight="14.4" x14ac:dyDescent="0.3"/>
  <cols>
    <col min="1" max="1" width="12.109375" customWidth="1"/>
    <col min="5" max="10" width="10" bestFit="1" customWidth="1"/>
    <col min="11" max="11" width="9.33203125" bestFit="1" customWidth="1"/>
    <col min="12" max="12" width="10" bestFit="1" customWidth="1"/>
    <col min="14" max="16" width="10.44140625" bestFit="1" customWidth="1"/>
    <col min="18" max="18" width="10" bestFit="1" customWidth="1"/>
    <col min="19" max="19" width="9.33203125" bestFit="1" customWidth="1"/>
    <col min="20" max="20" width="10" bestFit="1" customWidth="1"/>
    <col min="22" max="23" width="11.5546875" bestFit="1" customWidth="1"/>
  </cols>
  <sheetData>
    <row r="3" spans="1:24" ht="15" thickBot="1" x14ac:dyDescent="0.35">
      <c r="B3" t="s">
        <v>11</v>
      </c>
      <c r="C3" t="s">
        <v>12</v>
      </c>
      <c r="D3" t="s">
        <v>13</v>
      </c>
      <c r="F3" t="s">
        <v>14</v>
      </c>
      <c r="H3" t="s">
        <v>15</v>
      </c>
    </row>
    <row r="4" spans="1:24" ht="15" thickBot="1" x14ac:dyDescent="0.35">
      <c r="A4">
        <v>1</v>
      </c>
      <c r="B4" s="18">
        <f>'+!V гексы через якобиан'!B3</f>
        <v>0</v>
      </c>
      <c r="C4" s="18">
        <f>'+!V гексы через якобиан'!C3</f>
        <v>0</v>
      </c>
      <c r="D4" s="18">
        <f>'+!V гексы через якобиан'!D3</f>
        <v>0</v>
      </c>
      <c r="F4">
        <f>1/8</f>
        <v>0.125</v>
      </c>
      <c r="H4">
        <v>0.57735000000000003</v>
      </c>
    </row>
    <row r="5" spans="1:24" ht="15" thickBot="1" x14ac:dyDescent="0.35">
      <c r="A5">
        <v>2</v>
      </c>
      <c r="B5" s="18">
        <f>'+!V гексы через якобиан'!B4</f>
        <v>12</v>
      </c>
      <c r="C5" s="18">
        <f>'+!V гексы через якобиан'!C4</f>
        <v>0</v>
      </c>
      <c r="D5" s="18">
        <f>'+!V гексы через якобиан'!D4</f>
        <v>0</v>
      </c>
      <c r="H5">
        <f>-H4</f>
        <v>-0.57735000000000003</v>
      </c>
    </row>
    <row r="6" spans="1:24" ht="15" thickBot="1" x14ac:dyDescent="0.35">
      <c r="A6">
        <v>3</v>
      </c>
      <c r="B6" s="18">
        <f>'+!V гексы через якобиан'!B5</f>
        <v>10</v>
      </c>
      <c r="C6" s="18">
        <f>'+!V гексы через якобиан'!C5</f>
        <v>10</v>
      </c>
      <c r="D6" s="18">
        <f>'+!V гексы через якобиан'!D5</f>
        <v>0</v>
      </c>
    </row>
    <row r="7" spans="1:24" ht="15" thickBot="1" x14ac:dyDescent="0.35">
      <c r="A7">
        <v>4</v>
      </c>
      <c r="B7" s="18">
        <f>'+!V гексы через якобиан'!B6</f>
        <v>0</v>
      </c>
      <c r="C7" s="18">
        <f>'+!V гексы через якобиан'!C6</f>
        <v>10</v>
      </c>
      <c r="D7" s="18">
        <f>'+!V гексы через якобиан'!D6</f>
        <v>0</v>
      </c>
    </row>
    <row r="8" spans="1:24" ht="15" thickBot="1" x14ac:dyDescent="0.35">
      <c r="A8">
        <v>5</v>
      </c>
      <c r="B8" s="18">
        <f>'+!V гексы через якобиан'!B7</f>
        <v>0</v>
      </c>
      <c r="C8" s="18">
        <f>'+!V гексы через якобиан'!C7</f>
        <v>0</v>
      </c>
      <c r="D8" s="18">
        <f>'+!V гексы через якобиан'!D7</f>
        <v>12</v>
      </c>
    </row>
    <row r="9" spans="1:24" ht="15" thickBot="1" x14ac:dyDescent="0.35">
      <c r="A9">
        <v>6</v>
      </c>
      <c r="B9" s="18">
        <f>'+!V гексы через якобиан'!B8</f>
        <v>10</v>
      </c>
      <c r="C9" s="18">
        <f>'+!V гексы через якобиан'!C8</f>
        <v>0</v>
      </c>
      <c r="D9" s="18">
        <f>'+!V гексы через якобиан'!D8</f>
        <v>10</v>
      </c>
    </row>
    <row r="10" spans="1:24" ht="15" thickBot="1" x14ac:dyDescent="0.35">
      <c r="A10">
        <v>7</v>
      </c>
      <c r="B10" s="18">
        <f>'+!V гексы через якобиан'!B9</f>
        <v>10</v>
      </c>
      <c r="C10" s="18">
        <f>'+!V гексы через якобиан'!C9</f>
        <v>10</v>
      </c>
      <c r="D10" s="18">
        <f>'+!V гексы через якобиан'!D9</f>
        <v>7</v>
      </c>
    </row>
    <row r="11" spans="1:24" x14ac:dyDescent="0.3">
      <c r="A11">
        <v>8</v>
      </c>
      <c r="B11" s="18">
        <f>'+!V гексы через якобиан'!B10</f>
        <v>0</v>
      </c>
      <c r="C11" s="18">
        <f>'+!V гексы через якобиан'!C10</f>
        <v>10</v>
      </c>
      <c r="D11" s="18">
        <f>'+!V гексы через якобиан'!D10</f>
        <v>10</v>
      </c>
    </row>
    <row r="13" spans="1:24" x14ac:dyDescent="0.3">
      <c r="W13" s="16">
        <f>W15+W30+W45+W60+W75+W90+W105+W120</f>
        <v>1019.9999976687502</v>
      </c>
    </row>
    <row r="14" spans="1:24" ht="15" thickBot="1" x14ac:dyDescent="0.35">
      <c r="A14" t="s">
        <v>27</v>
      </c>
      <c r="B14" t="s">
        <v>33</v>
      </c>
      <c r="C14" t="s">
        <v>28</v>
      </c>
      <c r="E14" t="s">
        <v>30</v>
      </c>
      <c r="N14" t="s">
        <v>31</v>
      </c>
      <c r="R14" t="s">
        <v>29</v>
      </c>
      <c r="V14" t="s">
        <v>17</v>
      </c>
      <c r="W14" t="s">
        <v>77</v>
      </c>
      <c r="X14" t="s">
        <v>76</v>
      </c>
    </row>
    <row r="15" spans="1:24" x14ac:dyDescent="0.3">
      <c r="A15">
        <v>1</v>
      </c>
      <c r="B15" s="2" t="s">
        <v>8</v>
      </c>
      <c r="C15">
        <v>0.57735000000000003</v>
      </c>
      <c r="E15" s="68">
        <f>-(1-C16)*(1-C17)</f>
        <v>-0.17863302249999999</v>
      </c>
      <c r="F15" s="75">
        <f>(1-C16)*(1-C17)</f>
        <v>0.17863302249999999</v>
      </c>
      <c r="G15" s="75">
        <f>(1+C16)*(1-C17)</f>
        <v>0.66666697749999992</v>
      </c>
      <c r="H15" s="75">
        <f>-(1+C16)*(1-C17)</f>
        <v>-0.66666697749999992</v>
      </c>
      <c r="I15" s="75">
        <f>-(1-C16)*(1+C17)</f>
        <v>-0.66666697749999992</v>
      </c>
      <c r="J15" s="75">
        <f>(1-C16)*(1+C17)</f>
        <v>0.66666697749999992</v>
      </c>
      <c r="K15" s="75">
        <f>(1+C16)*(1+C17)</f>
        <v>2.4880330225000002</v>
      </c>
      <c r="L15" s="81">
        <f>-(1+C16)*(1+C17)</f>
        <v>-2.4880330225000002</v>
      </c>
      <c r="M15" s="71"/>
      <c r="N15" s="68">
        <f t="array" ref="N15:P17">MMULT(E15:L17,$B$4:$D$11)</f>
        <v>40.357266045000003</v>
      </c>
      <c r="O15" s="75">
        <v>0</v>
      </c>
      <c r="P15" s="76">
        <v>-8.7974330225000017</v>
      </c>
      <c r="Q15" s="71"/>
      <c r="R15" s="68">
        <f>$F$4*N15</f>
        <v>5.0446582556250004</v>
      </c>
      <c r="S15" s="75">
        <f t="shared" ref="S15:T17" si="0">$F$4*O15</f>
        <v>0</v>
      </c>
      <c r="T15" s="76">
        <f t="shared" si="0"/>
        <v>-1.0996791278125002</v>
      </c>
      <c r="U15" s="71"/>
      <c r="V15" s="71">
        <f>MDETERM(R15:T17)</f>
        <v>102.79284176623742</v>
      </c>
      <c r="W15" s="71">
        <f>V15*X15</f>
        <v>102.79284176623742</v>
      </c>
      <c r="X15">
        <v>1</v>
      </c>
    </row>
    <row r="16" spans="1:24" x14ac:dyDescent="0.3">
      <c r="B16" s="2" t="s">
        <v>9</v>
      </c>
      <c r="C16">
        <v>0.57735000000000003</v>
      </c>
      <c r="E16" s="69">
        <f>-(1-C15)*(1-C17)</f>
        <v>-0.17863302249999999</v>
      </c>
      <c r="F16" s="77">
        <f>-(1+C15)*(1-C17)</f>
        <v>-0.66666697749999992</v>
      </c>
      <c r="G16" s="77">
        <f>(1+C15)*(1-C17)</f>
        <v>0.66666697749999992</v>
      </c>
      <c r="H16" s="77">
        <f>(1-C15)*(1-C17)</f>
        <v>0.17863302249999999</v>
      </c>
      <c r="I16" s="77">
        <f>-(1-C15)*(1+C17)</f>
        <v>-0.66666697749999992</v>
      </c>
      <c r="J16" s="77">
        <f>-(1+C15)*(1+C17)</f>
        <v>-2.4880330225000002</v>
      </c>
      <c r="K16" s="77">
        <f>(1+C15)*(1+C17)</f>
        <v>2.4880330225000002</v>
      </c>
      <c r="L16" s="78">
        <f>(1-C15)*(1+C17)</f>
        <v>0.66666697749999992</v>
      </c>
      <c r="M16" s="71"/>
      <c r="N16" s="69">
        <v>-1.3333339550000005</v>
      </c>
      <c r="O16" s="77">
        <v>40</v>
      </c>
      <c r="P16" s="78">
        <v>-8.7974330224999981</v>
      </c>
      <c r="Q16" s="71"/>
      <c r="R16" s="69">
        <f>$F$4*N16</f>
        <v>-0.16666674437500006</v>
      </c>
      <c r="S16" s="77">
        <f t="shared" si="0"/>
        <v>5</v>
      </c>
      <c r="T16" s="78">
        <f t="shared" si="0"/>
        <v>-1.0996791278124998</v>
      </c>
      <c r="U16" s="71"/>
      <c r="V16" s="71"/>
      <c r="W16" s="71"/>
    </row>
    <row r="17" spans="1:32" ht="15" thickBot="1" x14ac:dyDescent="0.35">
      <c r="B17" s="2" t="s">
        <v>10</v>
      </c>
      <c r="C17">
        <v>0.57735000000000003</v>
      </c>
      <c r="E17" s="70">
        <f>-(1-C15)*(1-C16)</f>
        <v>-0.17863302249999999</v>
      </c>
      <c r="F17" s="79">
        <f>-(1+C15)*(1-C16)</f>
        <v>-0.66666697749999992</v>
      </c>
      <c r="G17" s="79">
        <f>-(1+C15)*(1+C16)</f>
        <v>-2.4880330225000002</v>
      </c>
      <c r="H17" s="79">
        <f>-(1-C15)*(1+C16)</f>
        <v>-0.66666697749999992</v>
      </c>
      <c r="I17" s="79">
        <f>(1-C15)*(1-C16)</f>
        <v>0.17863302249999999</v>
      </c>
      <c r="J17" s="79">
        <f>(1+C15)*(1-C16)</f>
        <v>0.66666697749999992</v>
      </c>
      <c r="K17" s="79">
        <f>(1+C15)*(1+C16)</f>
        <v>2.4880330225000002</v>
      </c>
      <c r="L17" s="80">
        <f>(1-C15)*(1+C16)</f>
        <v>0.66666697749999992</v>
      </c>
      <c r="M17" s="71"/>
      <c r="N17" s="70">
        <v>-1.333333954999997</v>
      </c>
      <c r="O17" s="79">
        <v>0</v>
      </c>
      <c r="P17" s="80">
        <v>32.893166977500002</v>
      </c>
      <c r="Q17" s="71"/>
      <c r="R17" s="70">
        <f>$F$4*N17</f>
        <v>-0.16666674437499962</v>
      </c>
      <c r="S17" s="79">
        <f t="shared" si="0"/>
        <v>0</v>
      </c>
      <c r="T17" s="80">
        <f t="shared" si="0"/>
        <v>4.1116458721875002</v>
      </c>
      <c r="U17" s="71"/>
      <c r="V17" s="71"/>
      <c r="W17" s="71"/>
    </row>
    <row r="19" spans="1:32" x14ac:dyDescent="0.3">
      <c r="E19" t="s">
        <v>49</v>
      </c>
      <c r="F19" t="s">
        <v>50</v>
      </c>
      <c r="G19" t="s">
        <v>51</v>
      </c>
      <c r="H19" t="s">
        <v>52</v>
      </c>
      <c r="I19" t="s">
        <v>53</v>
      </c>
      <c r="J19" t="s">
        <v>54</v>
      </c>
      <c r="K19" t="s">
        <v>78</v>
      </c>
      <c r="L19" t="s">
        <v>79</v>
      </c>
      <c r="N19" t="s">
        <v>72</v>
      </c>
      <c r="P19" t="s">
        <v>73</v>
      </c>
      <c r="Y19" t="s">
        <v>80</v>
      </c>
    </row>
    <row r="20" spans="1:32" x14ac:dyDescent="0.3">
      <c r="E20">
        <f>(1-C15)*(1-C16)*(1-C17)/8</f>
        <v>9.4374058699531246E-3</v>
      </c>
      <c r="F20">
        <f>(1+C15)*(1-C16)*(1-C17)/8</f>
        <v>3.5220849755046871E-2</v>
      </c>
      <c r="G20">
        <f>(1+C15)*(1+C16)*(1-C17)/8</f>
        <v>0.13144589461995312</v>
      </c>
      <c r="H20">
        <f>(1-C15)*(1+C16)*(1-C17)/8</f>
        <v>3.5220849755046871E-2</v>
      </c>
      <c r="I20">
        <f>(1-C15)*(1-C16)*(1+C17)/8</f>
        <v>3.5220849755046871E-2</v>
      </c>
      <c r="J20">
        <f>(1+C15)*(1-C16)*(1+C17)/8</f>
        <v>0.13144589461995312</v>
      </c>
      <c r="K20">
        <f>(1+C15)*(1+C16)*(1+C17)/8</f>
        <v>0.49056236100504691</v>
      </c>
      <c r="L20">
        <f>(1-C15)*(1+C16)*(1+C17)/8</f>
        <v>0.13144589461995312</v>
      </c>
      <c r="N20">
        <f t="array" ref="N20:N27">TRANSPOSE(E20:L20)</f>
        <v>9.4374058699531246E-3</v>
      </c>
      <c r="P20">
        <f t="array" ref="P20:W27">MMULT(N20:N27,E20:L20)</f>
        <v>8.9064629554225686E-5</v>
      </c>
      <c r="Q20">
        <v>3.323934542230164E-4</v>
      </c>
      <c r="R20">
        <v>1.2405082574675854E-3</v>
      </c>
      <c r="S20">
        <v>3.323934542230164E-4</v>
      </c>
      <c r="T20">
        <v>3.323934542230164E-4</v>
      </c>
      <c r="U20">
        <v>1.2405082574675854E-3</v>
      </c>
      <c r="V20">
        <v>4.6296361053270937E-3</v>
      </c>
      <c r="W20">
        <v>1.2405082574675854E-3</v>
      </c>
      <c r="Y20">
        <f t="array" ref="Y20">P20*$W$15</f>
        <v>9.1552063727360737E-3</v>
      </c>
      <c r="Z20">
        <f t="shared" ref="Z20:AF27" si="1">Q20*$W$15</f>
        <v>3.4167667744079602E-2</v>
      </c>
      <c r="AA20">
        <f t="shared" si="1"/>
        <v>0.12751536901957641</v>
      </c>
      <c r="AB20">
        <f t="shared" si="1"/>
        <v>3.4167667744079602E-2</v>
      </c>
      <c r="AC20">
        <f t="shared" si="1"/>
        <v>3.4167667744079602E-2</v>
      </c>
      <c r="AD20">
        <f t="shared" si="1"/>
        <v>0.12751536901957641</v>
      </c>
      <c r="AE20">
        <f t="shared" si="1"/>
        <v>0.47589345161014762</v>
      </c>
      <c r="AF20">
        <f t="shared" si="1"/>
        <v>0.12751536901957641</v>
      </c>
    </row>
    <row r="21" spans="1:32" x14ac:dyDescent="0.3">
      <c r="N21">
        <v>3.5220849755046871E-2</v>
      </c>
      <c r="P21">
        <v>3.323934542230164E-4</v>
      </c>
      <c r="Q21">
        <v>1.2405082574675852E-3</v>
      </c>
      <c r="R21">
        <v>4.6296361053270929E-3</v>
      </c>
      <c r="S21">
        <v>1.2405082574675852E-3</v>
      </c>
      <c r="T21">
        <v>1.2405082574675852E-3</v>
      </c>
      <c r="U21">
        <v>4.6296361053270929E-3</v>
      </c>
      <c r="V21">
        <v>1.7278023212439823E-2</v>
      </c>
      <c r="W21">
        <v>4.6296361053270929E-3</v>
      </c>
      <c r="Y21">
        <f t="shared" ref="Y21:Y27" si="2">P21*$W$15</f>
        <v>3.4167667744079602E-2</v>
      </c>
      <c r="Z21">
        <f t="shared" si="1"/>
        <v>0.12751536901957639</v>
      </c>
      <c r="AA21">
        <f t="shared" si="1"/>
        <v>0.47589345161014751</v>
      </c>
      <c r="AB21">
        <f t="shared" si="1"/>
        <v>0.12751536901957639</v>
      </c>
      <c r="AC21">
        <f t="shared" si="1"/>
        <v>0.12751536901957639</v>
      </c>
      <c r="AD21">
        <f t="shared" si="1"/>
        <v>0.47589345161014751</v>
      </c>
      <c r="AE21">
        <f t="shared" si="1"/>
        <v>1.7760571061097037</v>
      </c>
      <c r="AF21">
        <f t="shared" si="1"/>
        <v>0.47589345161014751</v>
      </c>
    </row>
    <row r="22" spans="1:32" x14ac:dyDescent="0.3">
      <c r="N22">
        <v>0.13144589461995312</v>
      </c>
      <c r="P22">
        <v>1.2405082574675854E-3</v>
      </c>
      <c r="Q22">
        <v>4.6296361053270929E-3</v>
      </c>
      <c r="R22">
        <v>1.7278023212439823E-2</v>
      </c>
      <c r="S22">
        <v>4.6296361053270929E-3</v>
      </c>
      <c r="T22">
        <v>4.6296361053270929E-3</v>
      </c>
      <c r="U22">
        <v>1.7278023212439823E-2</v>
      </c>
      <c r="V22">
        <v>6.4482408409184802E-2</v>
      </c>
      <c r="W22">
        <v>1.7278023212439823E-2</v>
      </c>
      <c r="Y22">
        <f t="shared" si="2"/>
        <v>0.12751536901957641</v>
      </c>
      <c r="Z22">
        <f t="shared" si="1"/>
        <v>0.47589345161014751</v>
      </c>
      <c r="AA22">
        <f t="shared" si="1"/>
        <v>1.7760571061097037</v>
      </c>
      <c r="AB22">
        <f t="shared" si="1"/>
        <v>0.47589345161014751</v>
      </c>
      <c r="AC22">
        <f t="shared" si="1"/>
        <v>0.47589345161014751</v>
      </c>
      <c r="AD22">
        <f t="shared" si="1"/>
        <v>1.7760571061097037</v>
      </c>
      <c r="AE22">
        <f t="shared" si="1"/>
        <v>6.6283300043112305</v>
      </c>
      <c r="AF22">
        <f t="shared" si="1"/>
        <v>1.7760571061097037</v>
      </c>
    </row>
    <row r="23" spans="1:32" x14ac:dyDescent="0.3">
      <c r="N23">
        <v>3.5220849755046871E-2</v>
      </c>
      <c r="P23">
        <v>3.323934542230164E-4</v>
      </c>
      <c r="Q23">
        <v>1.2405082574675852E-3</v>
      </c>
      <c r="R23">
        <v>4.6296361053270929E-3</v>
      </c>
      <c r="S23">
        <v>1.2405082574675852E-3</v>
      </c>
      <c r="T23">
        <v>1.2405082574675852E-3</v>
      </c>
      <c r="U23">
        <v>4.6296361053270929E-3</v>
      </c>
      <c r="V23">
        <v>1.7278023212439823E-2</v>
      </c>
      <c r="W23">
        <v>4.6296361053270929E-3</v>
      </c>
      <c r="Y23">
        <f t="shared" si="2"/>
        <v>3.4167667744079602E-2</v>
      </c>
      <c r="Z23">
        <f t="shared" si="1"/>
        <v>0.12751536901957639</v>
      </c>
      <c r="AA23">
        <f t="shared" si="1"/>
        <v>0.47589345161014751</v>
      </c>
      <c r="AB23">
        <f t="shared" si="1"/>
        <v>0.12751536901957639</v>
      </c>
      <c r="AC23">
        <f t="shared" si="1"/>
        <v>0.12751536901957639</v>
      </c>
      <c r="AD23">
        <f t="shared" si="1"/>
        <v>0.47589345161014751</v>
      </c>
      <c r="AE23">
        <f t="shared" si="1"/>
        <v>1.7760571061097037</v>
      </c>
      <c r="AF23">
        <f t="shared" si="1"/>
        <v>0.47589345161014751</v>
      </c>
    </row>
    <row r="24" spans="1:32" x14ac:dyDescent="0.3">
      <c r="N24">
        <v>3.5220849755046871E-2</v>
      </c>
      <c r="P24">
        <v>3.323934542230164E-4</v>
      </c>
      <c r="Q24">
        <v>1.2405082574675852E-3</v>
      </c>
      <c r="R24">
        <v>4.6296361053270929E-3</v>
      </c>
      <c r="S24">
        <v>1.2405082574675852E-3</v>
      </c>
      <c r="T24">
        <v>1.2405082574675852E-3</v>
      </c>
      <c r="U24">
        <v>4.6296361053270929E-3</v>
      </c>
      <c r="V24">
        <v>1.7278023212439823E-2</v>
      </c>
      <c r="W24">
        <v>4.6296361053270929E-3</v>
      </c>
      <c r="Y24">
        <f t="shared" si="2"/>
        <v>3.4167667744079602E-2</v>
      </c>
      <c r="Z24">
        <f t="shared" si="1"/>
        <v>0.12751536901957639</v>
      </c>
      <c r="AA24">
        <f t="shared" si="1"/>
        <v>0.47589345161014751</v>
      </c>
      <c r="AB24">
        <f t="shared" si="1"/>
        <v>0.12751536901957639</v>
      </c>
      <c r="AC24">
        <f t="shared" si="1"/>
        <v>0.12751536901957639</v>
      </c>
      <c r="AD24">
        <f t="shared" si="1"/>
        <v>0.47589345161014751</v>
      </c>
      <c r="AE24">
        <f t="shared" si="1"/>
        <v>1.7760571061097037</v>
      </c>
      <c r="AF24">
        <f t="shared" si="1"/>
        <v>0.47589345161014751</v>
      </c>
    </row>
    <row r="25" spans="1:32" x14ac:dyDescent="0.3">
      <c r="N25">
        <v>0.13144589461995312</v>
      </c>
      <c r="P25">
        <v>1.2405082574675854E-3</v>
      </c>
      <c r="Q25">
        <v>4.6296361053270929E-3</v>
      </c>
      <c r="R25">
        <v>1.7278023212439823E-2</v>
      </c>
      <c r="S25">
        <v>4.6296361053270929E-3</v>
      </c>
      <c r="T25">
        <v>4.6296361053270929E-3</v>
      </c>
      <c r="U25">
        <v>1.7278023212439823E-2</v>
      </c>
      <c r="V25">
        <v>6.4482408409184802E-2</v>
      </c>
      <c r="W25">
        <v>1.7278023212439823E-2</v>
      </c>
      <c r="Y25">
        <f t="shared" si="2"/>
        <v>0.12751536901957641</v>
      </c>
      <c r="Z25">
        <f t="shared" si="1"/>
        <v>0.47589345161014751</v>
      </c>
      <c r="AA25">
        <f t="shared" si="1"/>
        <v>1.7760571061097037</v>
      </c>
      <c r="AB25">
        <f t="shared" si="1"/>
        <v>0.47589345161014751</v>
      </c>
      <c r="AC25">
        <f t="shared" si="1"/>
        <v>0.47589345161014751</v>
      </c>
      <c r="AD25">
        <f t="shared" si="1"/>
        <v>1.7760571061097037</v>
      </c>
      <c r="AE25">
        <f t="shared" si="1"/>
        <v>6.6283300043112305</v>
      </c>
      <c r="AF25">
        <f t="shared" si="1"/>
        <v>1.7760571061097037</v>
      </c>
    </row>
    <row r="26" spans="1:32" x14ac:dyDescent="0.3">
      <c r="N26">
        <v>0.49056236100504691</v>
      </c>
      <c r="P26">
        <v>4.6296361053270937E-3</v>
      </c>
      <c r="Q26">
        <v>1.7278023212439823E-2</v>
      </c>
      <c r="R26">
        <v>6.4482408409184802E-2</v>
      </c>
      <c r="S26">
        <v>1.7278023212439823E-2</v>
      </c>
      <c r="T26">
        <v>1.7278023212439823E-2</v>
      </c>
      <c r="U26">
        <v>6.4482408409184802E-2</v>
      </c>
      <c r="V26">
        <v>0.24065143003484596</v>
      </c>
      <c r="W26">
        <v>6.4482408409184802E-2</v>
      </c>
      <c r="Y26">
        <f t="shared" si="2"/>
        <v>0.47589345161014762</v>
      </c>
      <c r="Z26">
        <f t="shared" si="1"/>
        <v>1.7760571061097037</v>
      </c>
      <c r="AA26">
        <f t="shared" si="1"/>
        <v>6.6283300043112305</v>
      </c>
      <c r="AB26">
        <f t="shared" si="1"/>
        <v>1.7760571061097037</v>
      </c>
      <c r="AC26">
        <f t="shared" si="1"/>
        <v>1.7760571061097037</v>
      </c>
      <c r="AD26">
        <f t="shared" si="1"/>
        <v>6.6283300043112305</v>
      </c>
      <c r="AE26">
        <f t="shared" si="1"/>
        <v>24.737244368390677</v>
      </c>
      <c r="AF26">
        <f t="shared" si="1"/>
        <v>6.6283300043112305</v>
      </c>
    </row>
    <row r="27" spans="1:32" x14ac:dyDescent="0.3">
      <c r="N27">
        <v>0.13144589461995312</v>
      </c>
      <c r="P27">
        <v>1.2405082574675854E-3</v>
      </c>
      <c r="Q27">
        <v>4.6296361053270929E-3</v>
      </c>
      <c r="R27">
        <v>1.7278023212439823E-2</v>
      </c>
      <c r="S27">
        <v>4.6296361053270929E-3</v>
      </c>
      <c r="T27">
        <v>4.6296361053270929E-3</v>
      </c>
      <c r="U27">
        <v>1.7278023212439823E-2</v>
      </c>
      <c r="V27">
        <v>6.4482408409184802E-2</v>
      </c>
      <c r="W27">
        <v>1.7278023212439823E-2</v>
      </c>
      <c r="Y27">
        <f t="shared" si="2"/>
        <v>0.12751536901957641</v>
      </c>
      <c r="Z27">
        <f t="shared" si="1"/>
        <v>0.47589345161014751</v>
      </c>
      <c r="AA27">
        <f t="shared" si="1"/>
        <v>1.7760571061097037</v>
      </c>
      <c r="AB27">
        <f t="shared" si="1"/>
        <v>0.47589345161014751</v>
      </c>
      <c r="AC27">
        <f t="shared" si="1"/>
        <v>0.47589345161014751</v>
      </c>
      <c r="AD27">
        <f t="shared" si="1"/>
        <v>1.7760571061097037</v>
      </c>
      <c r="AE27">
        <f t="shared" si="1"/>
        <v>6.6283300043112305</v>
      </c>
      <c r="AF27">
        <f t="shared" si="1"/>
        <v>1.7760571061097037</v>
      </c>
    </row>
    <row r="29" spans="1:32" ht="15" thickBot="1" x14ac:dyDescent="0.35">
      <c r="A29" t="s">
        <v>27</v>
      </c>
      <c r="B29" t="s">
        <v>33</v>
      </c>
      <c r="C29" t="s">
        <v>28</v>
      </c>
      <c r="E29" t="s">
        <v>30</v>
      </c>
      <c r="N29" t="s">
        <v>31</v>
      </c>
      <c r="R29" t="s">
        <v>29</v>
      </c>
      <c r="V29" t="s">
        <v>17</v>
      </c>
      <c r="W29" t="s">
        <v>77</v>
      </c>
      <c r="X29" t="s">
        <v>76</v>
      </c>
    </row>
    <row r="30" spans="1:32" x14ac:dyDescent="0.3">
      <c r="A30">
        <v>2</v>
      </c>
      <c r="B30" s="2" t="s">
        <v>8</v>
      </c>
      <c r="C30">
        <v>0.57735000000000003</v>
      </c>
      <c r="E30" s="3">
        <f>-(1-C31)*(1-C32)</f>
        <v>-0.66666697749999992</v>
      </c>
      <c r="F30" s="4">
        <f>(1-C31)*(1-C32)</f>
        <v>0.66666697749999992</v>
      </c>
      <c r="G30" s="4">
        <f>(1+C31)*(1-C32)</f>
        <v>2.4880330225000002</v>
      </c>
      <c r="H30" s="4">
        <f>-(1+C31)*(1-C32)</f>
        <v>-2.4880330225000002</v>
      </c>
      <c r="I30" s="4">
        <f>-(1-C31)*(1+C32)</f>
        <v>-0.17863302249999999</v>
      </c>
      <c r="J30" s="4">
        <f>(1-C31)*(1+C32)</f>
        <v>0.17863302249999999</v>
      </c>
      <c r="K30" s="4">
        <f>(1+C31)*(1+C32)</f>
        <v>0.66666697749999992</v>
      </c>
      <c r="L30" s="5">
        <f>-(1+C31)*(1+C32)</f>
        <v>-0.66666697749999992</v>
      </c>
      <c r="N30" s="3">
        <f t="array" ref="N30:P32">MMULT(E30:L32,$B$4:$D$11)</f>
        <v>41.333333955000001</v>
      </c>
      <c r="O30" s="4">
        <v>0</v>
      </c>
      <c r="P30" s="5">
        <v>-2.3572669775000001</v>
      </c>
      <c r="R30" s="3">
        <f t="shared" ref="R30:T32" si="3">$F$4*N30</f>
        <v>5.1666667443750001</v>
      </c>
      <c r="S30" s="4">
        <f t="shared" si="3"/>
        <v>0</v>
      </c>
      <c r="T30" s="5">
        <f t="shared" si="3"/>
        <v>-0.29465837218750002</v>
      </c>
      <c r="V30">
        <f>MDETERM(R30:T32)</f>
        <v>105.97197120441285</v>
      </c>
      <c r="W30">
        <f>V30*X30</f>
        <v>105.97197120441285</v>
      </c>
      <c r="X30">
        <v>1</v>
      </c>
    </row>
    <row r="31" spans="1:32" x14ac:dyDescent="0.3">
      <c r="B31" s="2" t="s">
        <v>9</v>
      </c>
      <c r="C31">
        <v>0.57735000000000003</v>
      </c>
      <c r="E31" s="6">
        <f>-(1-C30)*(1-C32)</f>
        <v>-0.66666697749999992</v>
      </c>
      <c r="F31" s="7">
        <f>-(1+C30)*(1-C32)</f>
        <v>-2.4880330225000002</v>
      </c>
      <c r="G31" s="7">
        <f>(1+C30)*(1-C32)</f>
        <v>2.4880330225000002</v>
      </c>
      <c r="H31" s="7">
        <f>(1-C30)*(1-C32)</f>
        <v>0.66666697749999992</v>
      </c>
      <c r="I31" s="7">
        <f>-(1-C30)*(1+C32)</f>
        <v>-0.17863302249999999</v>
      </c>
      <c r="J31" s="7">
        <f>-(1+C30)*(1+C32)</f>
        <v>-0.66666697749999992</v>
      </c>
      <c r="K31" s="7">
        <f>(1+C30)*(1+C32)</f>
        <v>0.66666697749999992</v>
      </c>
      <c r="L31" s="8">
        <f>(1-C30)*(1+C32)</f>
        <v>0.17863302249999999</v>
      </c>
      <c r="N31" s="6">
        <v>-4.9760660450000032</v>
      </c>
      <c r="O31" s="7">
        <v>40</v>
      </c>
      <c r="P31" s="8">
        <v>-2.3572669774999997</v>
      </c>
      <c r="R31" s="6">
        <f t="shared" si="3"/>
        <v>-0.62200825562500039</v>
      </c>
      <c r="S31" s="7">
        <f t="shared" si="3"/>
        <v>5</v>
      </c>
      <c r="T31" s="8">
        <f t="shared" si="3"/>
        <v>-0.29465837218749996</v>
      </c>
    </row>
    <row r="32" spans="1:32" ht="15" thickBot="1" x14ac:dyDescent="0.35">
      <c r="B32" s="2" t="s">
        <v>10</v>
      </c>
      <c r="C32">
        <v>-0.57735000000000003</v>
      </c>
      <c r="E32" s="9">
        <f>-(1-C30)*(1-C31)</f>
        <v>-0.17863302249999999</v>
      </c>
      <c r="F32" s="10">
        <f>-(1+C30)*(1-C31)</f>
        <v>-0.66666697749999992</v>
      </c>
      <c r="G32" s="10">
        <f>-(1+C30)*(1+C31)</f>
        <v>-2.4880330225000002</v>
      </c>
      <c r="H32" s="10">
        <f>-(1-C30)*(1+C31)</f>
        <v>-0.66666697749999992</v>
      </c>
      <c r="I32" s="10">
        <f>(1-C30)*(1-C31)</f>
        <v>0.17863302249999999</v>
      </c>
      <c r="J32" s="10">
        <f>(1+C30)*(1-C31)</f>
        <v>0.66666697749999992</v>
      </c>
      <c r="K32" s="10">
        <f>(1+C30)*(1+C31)</f>
        <v>2.4880330225000002</v>
      </c>
      <c r="L32" s="11">
        <f>(1-C30)*(1+C31)</f>
        <v>0.66666697749999992</v>
      </c>
      <c r="N32" s="9">
        <v>-1.333333954999997</v>
      </c>
      <c r="O32" s="10">
        <v>0</v>
      </c>
      <c r="P32" s="11">
        <v>32.893166977500002</v>
      </c>
      <c r="R32" s="9">
        <f t="shared" si="3"/>
        <v>-0.16666674437499962</v>
      </c>
      <c r="S32" s="10">
        <f t="shared" si="3"/>
        <v>0</v>
      </c>
      <c r="T32" s="11">
        <f t="shared" si="3"/>
        <v>4.1116458721875002</v>
      </c>
    </row>
    <row r="34" spans="1:32" x14ac:dyDescent="0.3">
      <c r="E34" t="s">
        <v>49</v>
      </c>
      <c r="F34" t="s">
        <v>50</v>
      </c>
      <c r="G34" t="s">
        <v>51</v>
      </c>
      <c r="H34" t="s">
        <v>52</v>
      </c>
      <c r="I34" t="s">
        <v>53</v>
      </c>
      <c r="J34" t="s">
        <v>54</v>
      </c>
      <c r="K34" t="s">
        <v>78</v>
      </c>
      <c r="L34" t="s">
        <v>79</v>
      </c>
      <c r="N34" t="s">
        <v>72</v>
      </c>
      <c r="P34" t="s">
        <v>73</v>
      </c>
      <c r="Y34" t="s">
        <v>80</v>
      </c>
    </row>
    <row r="35" spans="1:32" x14ac:dyDescent="0.3">
      <c r="E35">
        <f>(1-C30)*(1-C31)*(1-C32)/8</f>
        <v>3.5220849755046871E-2</v>
      </c>
      <c r="F35">
        <f>(1+C30)*(1-C31)*(1-C32)/8</f>
        <v>0.13144589461995312</v>
      </c>
      <c r="G35">
        <f>(1+C30)*(1+C31)*(1-C32)/8</f>
        <v>0.49056236100504691</v>
      </c>
      <c r="H35">
        <f>(1-C30)*(1+C31)*(1-C32)/8</f>
        <v>0.13144589461995312</v>
      </c>
      <c r="I35">
        <f>(1-C30)*(1-C31)*(1+C32)/8</f>
        <v>9.4374058699531246E-3</v>
      </c>
      <c r="J35">
        <f>(1+C30)*(1-C31)*(1+C32)/8</f>
        <v>3.5220849755046871E-2</v>
      </c>
      <c r="K35">
        <f>(1+C30)*(1+C31)*(1+C32)/8</f>
        <v>0.13144589461995312</v>
      </c>
      <c r="L35">
        <f>(1-C30)*(1+C31)*(1+C32)/8</f>
        <v>3.5220849755046871E-2</v>
      </c>
      <c r="N35">
        <f t="array" ref="N35:N42">TRANSPOSE(E35:L35)</f>
        <v>3.5220849755046871E-2</v>
      </c>
      <c r="P35">
        <f t="array" ref="P35:W42">MMULT(N35:N42,E35:L35)</f>
        <v>1.2405082574675852E-3</v>
      </c>
      <c r="Q35">
        <v>4.6296361053270929E-3</v>
      </c>
      <c r="R35">
        <v>1.7278023212439823E-2</v>
      </c>
      <c r="S35">
        <v>4.6296361053270929E-3</v>
      </c>
      <c r="T35">
        <v>3.323934542230164E-4</v>
      </c>
      <c r="U35">
        <v>1.2405082574675852E-3</v>
      </c>
      <c r="V35">
        <v>4.6296361053270929E-3</v>
      </c>
      <c r="W35">
        <v>1.2405082574675852E-3</v>
      </c>
      <c r="Y35">
        <f>P35*$W$15</f>
        <v>0.12751536901957639</v>
      </c>
      <c r="Z35">
        <f t="shared" ref="Z35:Z42" si="4">Q35*$W$15</f>
        <v>0.47589345161014751</v>
      </c>
      <c r="AA35">
        <f t="shared" ref="AA35:AA42" si="5">R35*$W$15</f>
        <v>1.7760571061097037</v>
      </c>
      <c r="AB35">
        <f t="shared" ref="AB35:AB42" si="6">S35*$W$15</f>
        <v>0.47589345161014751</v>
      </c>
      <c r="AC35">
        <f t="shared" ref="AC35:AC42" si="7">T35*$W$15</f>
        <v>3.4167667744079602E-2</v>
      </c>
      <c r="AD35">
        <f t="shared" ref="AD35:AD42" si="8">U35*$W$15</f>
        <v>0.12751536901957639</v>
      </c>
      <c r="AE35">
        <f t="shared" ref="AE35:AE42" si="9">V35*$W$15</f>
        <v>0.47589345161014751</v>
      </c>
      <c r="AF35">
        <f t="shared" ref="AF35:AF42" si="10">W35*$W$15</f>
        <v>0.12751536901957639</v>
      </c>
    </row>
    <row r="36" spans="1:32" x14ac:dyDescent="0.3">
      <c r="N36">
        <v>0.13144589461995312</v>
      </c>
      <c r="P36">
        <v>4.6296361053270929E-3</v>
      </c>
      <c r="Q36">
        <v>1.7278023212439823E-2</v>
      </c>
      <c r="R36">
        <v>6.4482408409184802E-2</v>
      </c>
      <c r="S36">
        <v>1.7278023212439823E-2</v>
      </c>
      <c r="T36">
        <v>1.2405082574675854E-3</v>
      </c>
      <c r="U36">
        <v>4.6296361053270929E-3</v>
      </c>
      <c r="V36">
        <v>1.7278023212439823E-2</v>
      </c>
      <c r="W36">
        <v>4.6296361053270929E-3</v>
      </c>
      <c r="Y36">
        <f t="shared" ref="Y36:Y42" si="11">P36*$W$15</f>
        <v>0.47589345161014751</v>
      </c>
      <c r="Z36">
        <f t="shared" si="4"/>
        <v>1.7760571061097037</v>
      </c>
      <c r="AA36">
        <f t="shared" si="5"/>
        <v>6.6283300043112305</v>
      </c>
      <c r="AB36">
        <f t="shared" si="6"/>
        <v>1.7760571061097037</v>
      </c>
      <c r="AC36">
        <f t="shared" si="7"/>
        <v>0.12751536901957641</v>
      </c>
      <c r="AD36">
        <f t="shared" si="8"/>
        <v>0.47589345161014751</v>
      </c>
      <c r="AE36">
        <f t="shared" si="9"/>
        <v>1.7760571061097037</v>
      </c>
      <c r="AF36">
        <f t="shared" si="10"/>
        <v>0.47589345161014751</v>
      </c>
    </row>
    <row r="37" spans="1:32" x14ac:dyDescent="0.3">
      <c r="N37">
        <v>0.49056236100504691</v>
      </c>
      <c r="P37">
        <v>1.7278023212439823E-2</v>
      </c>
      <c r="Q37">
        <v>6.4482408409184802E-2</v>
      </c>
      <c r="R37">
        <v>0.24065143003484596</v>
      </c>
      <c r="S37">
        <v>6.4482408409184802E-2</v>
      </c>
      <c r="T37">
        <v>4.6296361053270937E-3</v>
      </c>
      <c r="U37">
        <v>1.7278023212439823E-2</v>
      </c>
      <c r="V37">
        <v>6.4482408409184802E-2</v>
      </c>
      <c r="W37">
        <v>1.7278023212439823E-2</v>
      </c>
      <c r="Y37">
        <f t="shared" si="11"/>
        <v>1.7760571061097037</v>
      </c>
      <c r="Z37">
        <f t="shared" si="4"/>
        <v>6.6283300043112305</v>
      </c>
      <c r="AA37">
        <f t="shared" si="5"/>
        <v>24.737244368390677</v>
      </c>
      <c r="AB37">
        <f t="shared" si="6"/>
        <v>6.6283300043112305</v>
      </c>
      <c r="AC37">
        <f t="shared" si="7"/>
        <v>0.47589345161014762</v>
      </c>
      <c r="AD37">
        <f t="shared" si="8"/>
        <v>1.7760571061097037</v>
      </c>
      <c r="AE37">
        <f t="shared" si="9"/>
        <v>6.6283300043112305</v>
      </c>
      <c r="AF37">
        <f t="shared" si="10"/>
        <v>1.7760571061097037</v>
      </c>
    </row>
    <row r="38" spans="1:32" x14ac:dyDescent="0.3">
      <c r="N38">
        <v>0.13144589461995312</v>
      </c>
      <c r="P38">
        <v>4.6296361053270929E-3</v>
      </c>
      <c r="Q38">
        <v>1.7278023212439823E-2</v>
      </c>
      <c r="R38">
        <v>6.4482408409184802E-2</v>
      </c>
      <c r="S38">
        <v>1.7278023212439823E-2</v>
      </c>
      <c r="T38">
        <v>1.2405082574675854E-3</v>
      </c>
      <c r="U38">
        <v>4.6296361053270929E-3</v>
      </c>
      <c r="V38">
        <v>1.7278023212439823E-2</v>
      </c>
      <c r="W38">
        <v>4.6296361053270929E-3</v>
      </c>
      <c r="Y38">
        <f t="shared" si="11"/>
        <v>0.47589345161014751</v>
      </c>
      <c r="Z38">
        <f t="shared" si="4"/>
        <v>1.7760571061097037</v>
      </c>
      <c r="AA38">
        <f t="shared" si="5"/>
        <v>6.6283300043112305</v>
      </c>
      <c r="AB38">
        <f t="shared" si="6"/>
        <v>1.7760571061097037</v>
      </c>
      <c r="AC38">
        <f t="shared" si="7"/>
        <v>0.12751536901957641</v>
      </c>
      <c r="AD38">
        <f t="shared" si="8"/>
        <v>0.47589345161014751</v>
      </c>
      <c r="AE38">
        <f t="shared" si="9"/>
        <v>1.7760571061097037</v>
      </c>
      <c r="AF38">
        <f t="shared" si="10"/>
        <v>0.47589345161014751</v>
      </c>
    </row>
    <row r="39" spans="1:32" x14ac:dyDescent="0.3">
      <c r="N39">
        <v>9.4374058699531246E-3</v>
      </c>
      <c r="P39">
        <v>3.323934542230164E-4</v>
      </c>
      <c r="Q39">
        <v>1.2405082574675854E-3</v>
      </c>
      <c r="R39">
        <v>4.6296361053270937E-3</v>
      </c>
      <c r="S39">
        <v>1.2405082574675854E-3</v>
      </c>
      <c r="T39">
        <v>8.9064629554225686E-5</v>
      </c>
      <c r="U39">
        <v>3.323934542230164E-4</v>
      </c>
      <c r="V39">
        <v>1.2405082574675854E-3</v>
      </c>
      <c r="W39">
        <v>3.323934542230164E-4</v>
      </c>
      <c r="Y39">
        <f t="shared" si="11"/>
        <v>3.4167667744079602E-2</v>
      </c>
      <c r="Z39">
        <f t="shared" si="4"/>
        <v>0.12751536901957641</v>
      </c>
      <c r="AA39">
        <f t="shared" si="5"/>
        <v>0.47589345161014762</v>
      </c>
      <c r="AB39">
        <f t="shared" si="6"/>
        <v>0.12751536901957641</v>
      </c>
      <c r="AC39">
        <f t="shared" si="7"/>
        <v>9.1552063727360737E-3</v>
      </c>
      <c r="AD39">
        <f t="shared" si="8"/>
        <v>3.4167667744079602E-2</v>
      </c>
      <c r="AE39">
        <f t="shared" si="9"/>
        <v>0.12751536901957641</v>
      </c>
      <c r="AF39">
        <f t="shared" si="10"/>
        <v>3.4167667744079602E-2</v>
      </c>
    </row>
    <row r="40" spans="1:32" x14ac:dyDescent="0.3">
      <c r="N40">
        <v>3.5220849755046871E-2</v>
      </c>
      <c r="P40">
        <v>1.2405082574675852E-3</v>
      </c>
      <c r="Q40">
        <v>4.6296361053270929E-3</v>
      </c>
      <c r="R40">
        <v>1.7278023212439823E-2</v>
      </c>
      <c r="S40">
        <v>4.6296361053270929E-3</v>
      </c>
      <c r="T40">
        <v>3.323934542230164E-4</v>
      </c>
      <c r="U40">
        <v>1.2405082574675852E-3</v>
      </c>
      <c r="V40">
        <v>4.6296361053270929E-3</v>
      </c>
      <c r="W40">
        <v>1.2405082574675852E-3</v>
      </c>
      <c r="Y40">
        <f t="shared" si="11"/>
        <v>0.12751536901957639</v>
      </c>
      <c r="Z40">
        <f t="shared" si="4"/>
        <v>0.47589345161014751</v>
      </c>
      <c r="AA40">
        <f t="shared" si="5"/>
        <v>1.7760571061097037</v>
      </c>
      <c r="AB40">
        <f t="shared" si="6"/>
        <v>0.47589345161014751</v>
      </c>
      <c r="AC40">
        <f t="shared" si="7"/>
        <v>3.4167667744079602E-2</v>
      </c>
      <c r="AD40">
        <f t="shared" si="8"/>
        <v>0.12751536901957639</v>
      </c>
      <c r="AE40">
        <f t="shared" si="9"/>
        <v>0.47589345161014751</v>
      </c>
      <c r="AF40">
        <f t="shared" si="10"/>
        <v>0.12751536901957639</v>
      </c>
    </row>
    <row r="41" spans="1:32" x14ac:dyDescent="0.3">
      <c r="N41">
        <v>0.13144589461995312</v>
      </c>
      <c r="P41">
        <v>4.6296361053270929E-3</v>
      </c>
      <c r="Q41">
        <v>1.7278023212439823E-2</v>
      </c>
      <c r="R41">
        <v>6.4482408409184802E-2</v>
      </c>
      <c r="S41">
        <v>1.7278023212439823E-2</v>
      </c>
      <c r="T41">
        <v>1.2405082574675854E-3</v>
      </c>
      <c r="U41">
        <v>4.6296361053270929E-3</v>
      </c>
      <c r="V41">
        <v>1.7278023212439823E-2</v>
      </c>
      <c r="W41">
        <v>4.6296361053270929E-3</v>
      </c>
      <c r="Y41">
        <f t="shared" si="11"/>
        <v>0.47589345161014751</v>
      </c>
      <c r="Z41">
        <f t="shared" si="4"/>
        <v>1.7760571061097037</v>
      </c>
      <c r="AA41">
        <f t="shared" si="5"/>
        <v>6.6283300043112305</v>
      </c>
      <c r="AB41">
        <f t="shared" si="6"/>
        <v>1.7760571061097037</v>
      </c>
      <c r="AC41">
        <f t="shared" si="7"/>
        <v>0.12751536901957641</v>
      </c>
      <c r="AD41">
        <f t="shared" si="8"/>
        <v>0.47589345161014751</v>
      </c>
      <c r="AE41">
        <f t="shared" si="9"/>
        <v>1.7760571061097037</v>
      </c>
      <c r="AF41">
        <f t="shared" si="10"/>
        <v>0.47589345161014751</v>
      </c>
    </row>
    <row r="42" spans="1:32" x14ac:dyDescent="0.3">
      <c r="N42">
        <v>3.5220849755046871E-2</v>
      </c>
      <c r="P42">
        <v>1.2405082574675852E-3</v>
      </c>
      <c r="Q42">
        <v>4.6296361053270929E-3</v>
      </c>
      <c r="R42">
        <v>1.7278023212439823E-2</v>
      </c>
      <c r="S42">
        <v>4.6296361053270929E-3</v>
      </c>
      <c r="T42">
        <v>3.323934542230164E-4</v>
      </c>
      <c r="U42">
        <v>1.2405082574675852E-3</v>
      </c>
      <c r="V42">
        <v>4.6296361053270929E-3</v>
      </c>
      <c r="W42">
        <v>1.2405082574675852E-3</v>
      </c>
      <c r="Y42">
        <f t="shared" si="11"/>
        <v>0.12751536901957639</v>
      </c>
      <c r="Z42">
        <f t="shared" si="4"/>
        <v>0.47589345161014751</v>
      </c>
      <c r="AA42">
        <f t="shared" si="5"/>
        <v>1.7760571061097037</v>
      </c>
      <c r="AB42">
        <f t="shared" si="6"/>
        <v>0.47589345161014751</v>
      </c>
      <c r="AC42">
        <f t="shared" si="7"/>
        <v>3.4167667744079602E-2</v>
      </c>
      <c r="AD42">
        <f t="shared" si="8"/>
        <v>0.12751536901957639</v>
      </c>
      <c r="AE42">
        <f t="shared" si="9"/>
        <v>0.47589345161014751</v>
      </c>
      <c r="AF42">
        <f t="shared" si="10"/>
        <v>0.12751536901957639</v>
      </c>
    </row>
    <row r="44" spans="1:32" ht="15" thickBot="1" x14ac:dyDescent="0.35">
      <c r="A44" t="s">
        <v>27</v>
      </c>
      <c r="B44" t="s">
        <v>33</v>
      </c>
      <c r="C44" t="s">
        <v>28</v>
      </c>
      <c r="E44" t="s">
        <v>30</v>
      </c>
      <c r="N44" t="s">
        <v>31</v>
      </c>
      <c r="R44" t="s">
        <v>29</v>
      </c>
      <c r="V44" t="s">
        <v>17</v>
      </c>
      <c r="W44" t="s">
        <v>77</v>
      </c>
      <c r="X44" t="s">
        <v>76</v>
      </c>
    </row>
    <row r="45" spans="1:32" x14ac:dyDescent="0.3">
      <c r="A45">
        <v>3</v>
      </c>
      <c r="B45" s="2" t="s">
        <v>8</v>
      </c>
      <c r="C45">
        <v>0.57735000000000003</v>
      </c>
      <c r="E45" s="3">
        <f>-(1-C46)*(1-C47)</f>
        <v>-0.66666697749999992</v>
      </c>
      <c r="F45" s="4">
        <f>(1-C46)*(1-C47)</f>
        <v>0.66666697749999992</v>
      </c>
      <c r="G45" s="4">
        <f>(1+C46)*(1-C47)</f>
        <v>0.17863302249999999</v>
      </c>
      <c r="H45" s="4">
        <f>-(1+C46)*(1-C47)</f>
        <v>-0.17863302249999999</v>
      </c>
      <c r="I45" s="4">
        <f>-(1-C46)*(1+C47)</f>
        <v>-2.4880330225000002</v>
      </c>
      <c r="J45" s="4">
        <f>(1-C46)*(1+C47)</f>
        <v>2.4880330225000002</v>
      </c>
      <c r="K45" s="4">
        <f>(1+C46)*(1+C47)</f>
        <v>0.66666697749999992</v>
      </c>
      <c r="L45" s="5">
        <f>-(1+C46)*(1+C47)</f>
        <v>-0.66666697749999992</v>
      </c>
      <c r="N45" s="3">
        <f t="array" ref="N45:P47">MMULT(E45:L47,$B$4:$D$11)</f>
        <v>41.333333955000001</v>
      </c>
      <c r="O45" s="4">
        <v>0</v>
      </c>
      <c r="P45" s="5">
        <v>-6.976066977500003</v>
      </c>
      <c r="R45" s="3">
        <f t="shared" ref="R45:T47" si="12">$F$4*N45</f>
        <v>5.1666667443750001</v>
      </c>
      <c r="S45" s="4">
        <f t="shared" si="12"/>
        <v>0</v>
      </c>
      <c r="T45" s="5">
        <f t="shared" si="12"/>
        <v>-0.87200837218750038</v>
      </c>
      <c r="V45">
        <f>MDETERM(R45:T47)</f>
        <v>124.30190776311238</v>
      </c>
      <c r="W45">
        <f>V45*X45</f>
        <v>124.30190776311238</v>
      </c>
      <c r="X45">
        <v>1</v>
      </c>
    </row>
    <row r="46" spans="1:32" x14ac:dyDescent="0.3">
      <c r="B46" s="2" t="s">
        <v>9</v>
      </c>
      <c r="C46">
        <v>-0.57735000000000003</v>
      </c>
      <c r="E46" s="6">
        <f>-(1-C45)*(1-C47)</f>
        <v>-0.17863302249999999</v>
      </c>
      <c r="F46" s="7">
        <f>-(1+C45)*(1-C47)</f>
        <v>-0.66666697749999992</v>
      </c>
      <c r="G46" s="7">
        <f>(1+C45)*(1-C47)</f>
        <v>0.66666697749999992</v>
      </c>
      <c r="H46" s="7">
        <f>(1-C45)*(1-C47)</f>
        <v>0.17863302249999999</v>
      </c>
      <c r="I46" s="7">
        <f>-(1-C45)*(1+C47)</f>
        <v>-0.66666697749999992</v>
      </c>
      <c r="J46" s="7">
        <f>-(1+C45)*(1+C47)</f>
        <v>-2.4880330225000002</v>
      </c>
      <c r="K46" s="7">
        <f>(1+C45)*(1+C47)</f>
        <v>2.4880330225000002</v>
      </c>
      <c r="L46" s="8">
        <f>(1-C45)*(1+C47)</f>
        <v>0.66666697749999992</v>
      </c>
      <c r="N46" s="6">
        <v>-1.3333339550000005</v>
      </c>
      <c r="O46" s="7">
        <v>40</v>
      </c>
      <c r="P46" s="8">
        <v>-8.7974330224999981</v>
      </c>
      <c r="R46" s="6">
        <f t="shared" si="12"/>
        <v>-0.16666674437500006</v>
      </c>
      <c r="S46" s="7">
        <f t="shared" si="12"/>
        <v>5</v>
      </c>
      <c r="T46" s="8">
        <f t="shared" si="12"/>
        <v>-1.0996791278124998</v>
      </c>
    </row>
    <row r="47" spans="1:32" ht="15" thickBot="1" x14ac:dyDescent="0.35">
      <c r="B47" s="2" t="s">
        <v>10</v>
      </c>
      <c r="C47">
        <v>0.57735000000000003</v>
      </c>
      <c r="E47" s="9">
        <f>-(1-C45)*(1-C46)</f>
        <v>-0.66666697749999992</v>
      </c>
      <c r="F47" s="10">
        <f>-(1+C45)*(1-C46)</f>
        <v>-2.4880330225000002</v>
      </c>
      <c r="G47" s="10">
        <f>-(1+C45)*(1+C46)</f>
        <v>-0.66666697749999992</v>
      </c>
      <c r="H47" s="10">
        <f>-(1-C45)*(1+C46)</f>
        <v>-0.17863302249999999</v>
      </c>
      <c r="I47" s="10">
        <f>(1-C45)*(1-C46)</f>
        <v>0.66666697749999992</v>
      </c>
      <c r="J47" s="10">
        <f>(1+C45)*(1-C46)</f>
        <v>2.4880330225000002</v>
      </c>
      <c r="K47" s="10">
        <f>(1+C45)*(1+C46)</f>
        <v>0.66666697749999992</v>
      </c>
      <c r="L47" s="11">
        <f>(1-C45)*(1+C46)</f>
        <v>0.17863302249999999</v>
      </c>
      <c r="N47" s="9">
        <v>-4.9760660450000067</v>
      </c>
      <c r="O47" s="10">
        <v>-4.4408920985006262E-16</v>
      </c>
      <c r="P47" s="11">
        <v>39.3333330225</v>
      </c>
      <c r="R47" s="9">
        <f t="shared" si="12"/>
        <v>-0.62200825562500084</v>
      </c>
      <c r="S47" s="10">
        <f t="shared" si="12"/>
        <v>-5.5511151231257827E-17</v>
      </c>
      <c r="T47" s="11">
        <f t="shared" si="12"/>
        <v>4.9166666278125</v>
      </c>
    </row>
    <row r="49" spans="1:32" x14ac:dyDescent="0.3">
      <c r="E49" t="s">
        <v>49</v>
      </c>
      <c r="F49" t="s">
        <v>50</v>
      </c>
      <c r="G49" t="s">
        <v>51</v>
      </c>
      <c r="H49" t="s">
        <v>52</v>
      </c>
      <c r="I49" t="s">
        <v>53</v>
      </c>
      <c r="J49" t="s">
        <v>54</v>
      </c>
      <c r="K49" t="s">
        <v>78</v>
      </c>
      <c r="L49" t="s">
        <v>79</v>
      </c>
      <c r="N49" t="s">
        <v>72</v>
      </c>
      <c r="P49" t="s">
        <v>73</v>
      </c>
      <c r="Y49" t="s">
        <v>80</v>
      </c>
    </row>
    <row r="50" spans="1:32" x14ac:dyDescent="0.3">
      <c r="E50">
        <f>(1-C45)*(1-C46)*(1-C47)/8</f>
        <v>3.5220849755046871E-2</v>
      </c>
      <c r="F50">
        <f>(1+C45)*(1-C46)*(1-C47)/8</f>
        <v>0.13144589461995312</v>
      </c>
      <c r="G50">
        <f>(1+C45)*(1+C46)*(1-C47)/8</f>
        <v>3.5220849755046871E-2</v>
      </c>
      <c r="H50">
        <f>(1-C45)*(1+C46)*(1-C47)/8</f>
        <v>9.4374058699531246E-3</v>
      </c>
      <c r="I50">
        <f>(1-C45)*(1-C46)*(1+C47)/8</f>
        <v>0.13144589461995312</v>
      </c>
      <c r="J50">
        <f>(1+C45)*(1-C46)*(1+C47)/8</f>
        <v>0.49056236100504691</v>
      </c>
      <c r="K50">
        <f>(1+C45)*(1+C46)*(1+C47)/8</f>
        <v>0.13144589461995312</v>
      </c>
      <c r="L50">
        <f>(1-C45)*(1+C46)*(1+C47)/8</f>
        <v>3.5220849755046871E-2</v>
      </c>
      <c r="N50">
        <f t="array" ref="N50:N57">TRANSPOSE(E50:L50)</f>
        <v>3.5220849755046871E-2</v>
      </c>
      <c r="P50">
        <f t="array" ref="P50:W57">MMULT(N50:N57,E50:L50)</f>
        <v>1.2405082574675852E-3</v>
      </c>
      <c r="Q50">
        <v>4.6296361053270929E-3</v>
      </c>
      <c r="R50">
        <v>1.2405082574675852E-3</v>
      </c>
      <c r="S50">
        <v>3.323934542230164E-4</v>
      </c>
      <c r="T50">
        <v>4.6296361053270929E-3</v>
      </c>
      <c r="U50">
        <v>1.7278023212439823E-2</v>
      </c>
      <c r="V50">
        <v>4.6296361053270929E-3</v>
      </c>
      <c r="W50">
        <v>1.2405082574675852E-3</v>
      </c>
      <c r="Y50">
        <f>P50*$W$15</f>
        <v>0.12751536901957639</v>
      </c>
      <c r="Z50">
        <f t="shared" ref="Z50:Z57" si="13">Q50*$W$15</f>
        <v>0.47589345161014751</v>
      </c>
      <c r="AA50">
        <f t="shared" ref="AA50:AA57" si="14">R50*$W$15</f>
        <v>0.12751536901957639</v>
      </c>
      <c r="AB50">
        <f t="shared" ref="AB50:AB57" si="15">S50*$W$15</f>
        <v>3.4167667744079602E-2</v>
      </c>
      <c r="AC50">
        <f t="shared" ref="AC50:AC57" si="16">T50*$W$15</f>
        <v>0.47589345161014751</v>
      </c>
      <c r="AD50">
        <f t="shared" ref="AD50:AD57" si="17">U50*$W$15</f>
        <v>1.7760571061097037</v>
      </c>
      <c r="AE50">
        <f t="shared" ref="AE50:AE57" si="18">V50*$W$15</f>
        <v>0.47589345161014751</v>
      </c>
      <c r="AF50">
        <f t="shared" ref="AF50:AF57" si="19">W50*$W$15</f>
        <v>0.12751536901957639</v>
      </c>
    </row>
    <row r="51" spans="1:32" x14ac:dyDescent="0.3">
      <c r="N51">
        <v>0.13144589461995312</v>
      </c>
      <c r="P51">
        <v>4.6296361053270929E-3</v>
      </c>
      <c r="Q51">
        <v>1.7278023212439823E-2</v>
      </c>
      <c r="R51">
        <v>4.6296361053270929E-3</v>
      </c>
      <c r="S51">
        <v>1.2405082574675854E-3</v>
      </c>
      <c r="T51">
        <v>1.7278023212439823E-2</v>
      </c>
      <c r="U51">
        <v>6.4482408409184802E-2</v>
      </c>
      <c r="V51">
        <v>1.7278023212439823E-2</v>
      </c>
      <c r="W51">
        <v>4.6296361053270929E-3</v>
      </c>
      <c r="Y51">
        <f t="shared" ref="Y51:Y57" si="20">P51*$W$15</f>
        <v>0.47589345161014751</v>
      </c>
      <c r="Z51">
        <f t="shared" si="13"/>
        <v>1.7760571061097037</v>
      </c>
      <c r="AA51">
        <f t="shared" si="14"/>
        <v>0.47589345161014751</v>
      </c>
      <c r="AB51">
        <f t="shared" si="15"/>
        <v>0.12751536901957641</v>
      </c>
      <c r="AC51">
        <f t="shared" si="16"/>
        <v>1.7760571061097037</v>
      </c>
      <c r="AD51">
        <f t="shared" si="17"/>
        <v>6.6283300043112305</v>
      </c>
      <c r="AE51">
        <f t="shared" si="18"/>
        <v>1.7760571061097037</v>
      </c>
      <c r="AF51">
        <f t="shared" si="19"/>
        <v>0.47589345161014751</v>
      </c>
    </row>
    <row r="52" spans="1:32" x14ac:dyDescent="0.3">
      <c r="N52">
        <v>3.5220849755046871E-2</v>
      </c>
      <c r="P52">
        <v>1.2405082574675852E-3</v>
      </c>
      <c r="Q52">
        <v>4.6296361053270929E-3</v>
      </c>
      <c r="R52">
        <v>1.2405082574675852E-3</v>
      </c>
      <c r="S52">
        <v>3.323934542230164E-4</v>
      </c>
      <c r="T52">
        <v>4.6296361053270929E-3</v>
      </c>
      <c r="U52">
        <v>1.7278023212439823E-2</v>
      </c>
      <c r="V52">
        <v>4.6296361053270929E-3</v>
      </c>
      <c r="W52">
        <v>1.2405082574675852E-3</v>
      </c>
      <c r="Y52">
        <f t="shared" si="20"/>
        <v>0.12751536901957639</v>
      </c>
      <c r="Z52">
        <f t="shared" si="13"/>
        <v>0.47589345161014751</v>
      </c>
      <c r="AA52">
        <f t="shared" si="14"/>
        <v>0.12751536901957639</v>
      </c>
      <c r="AB52">
        <f t="shared" si="15"/>
        <v>3.4167667744079602E-2</v>
      </c>
      <c r="AC52">
        <f t="shared" si="16"/>
        <v>0.47589345161014751</v>
      </c>
      <c r="AD52">
        <f t="shared" si="17"/>
        <v>1.7760571061097037</v>
      </c>
      <c r="AE52">
        <f t="shared" si="18"/>
        <v>0.47589345161014751</v>
      </c>
      <c r="AF52">
        <f t="shared" si="19"/>
        <v>0.12751536901957639</v>
      </c>
    </row>
    <row r="53" spans="1:32" x14ac:dyDescent="0.3">
      <c r="N53">
        <v>9.4374058699531246E-3</v>
      </c>
      <c r="P53">
        <v>3.323934542230164E-4</v>
      </c>
      <c r="Q53">
        <v>1.2405082574675854E-3</v>
      </c>
      <c r="R53">
        <v>3.323934542230164E-4</v>
      </c>
      <c r="S53">
        <v>8.9064629554225686E-5</v>
      </c>
      <c r="T53">
        <v>1.2405082574675854E-3</v>
      </c>
      <c r="U53">
        <v>4.6296361053270937E-3</v>
      </c>
      <c r="V53">
        <v>1.2405082574675854E-3</v>
      </c>
      <c r="W53">
        <v>3.323934542230164E-4</v>
      </c>
      <c r="Y53">
        <f t="shared" si="20"/>
        <v>3.4167667744079602E-2</v>
      </c>
      <c r="Z53">
        <f t="shared" si="13"/>
        <v>0.12751536901957641</v>
      </c>
      <c r="AA53">
        <f t="shared" si="14"/>
        <v>3.4167667744079602E-2</v>
      </c>
      <c r="AB53">
        <f t="shared" si="15"/>
        <v>9.1552063727360737E-3</v>
      </c>
      <c r="AC53">
        <f t="shared" si="16"/>
        <v>0.12751536901957641</v>
      </c>
      <c r="AD53">
        <f t="shared" si="17"/>
        <v>0.47589345161014762</v>
      </c>
      <c r="AE53">
        <f t="shared" si="18"/>
        <v>0.12751536901957641</v>
      </c>
      <c r="AF53">
        <f t="shared" si="19"/>
        <v>3.4167667744079602E-2</v>
      </c>
    </row>
    <row r="54" spans="1:32" x14ac:dyDescent="0.3">
      <c r="N54">
        <v>0.13144589461995312</v>
      </c>
      <c r="P54">
        <v>4.6296361053270929E-3</v>
      </c>
      <c r="Q54">
        <v>1.7278023212439823E-2</v>
      </c>
      <c r="R54">
        <v>4.6296361053270929E-3</v>
      </c>
      <c r="S54">
        <v>1.2405082574675854E-3</v>
      </c>
      <c r="T54">
        <v>1.7278023212439823E-2</v>
      </c>
      <c r="U54">
        <v>6.4482408409184802E-2</v>
      </c>
      <c r="V54">
        <v>1.7278023212439823E-2</v>
      </c>
      <c r="W54">
        <v>4.6296361053270929E-3</v>
      </c>
      <c r="Y54">
        <f t="shared" si="20"/>
        <v>0.47589345161014751</v>
      </c>
      <c r="Z54">
        <f t="shared" si="13"/>
        <v>1.7760571061097037</v>
      </c>
      <c r="AA54">
        <f t="shared" si="14"/>
        <v>0.47589345161014751</v>
      </c>
      <c r="AB54">
        <f t="shared" si="15"/>
        <v>0.12751536901957641</v>
      </c>
      <c r="AC54">
        <f t="shared" si="16"/>
        <v>1.7760571061097037</v>
      </c>
      <c r="AD54">
        <f t="shared" si="17"/>
        <v>6.6283300043112305</v>
      </c>
      <c r="AE54">
        <f t="shared" si="18"/>
        <v>1.7760571061097037</v>
      </c>
      <c r="AF54">
        <f t="shared" si="19"/>
        <v>0.47589345161014751</v>
      </c>
    </row>
    <row r="55" spans="1:32" x14ac:dyDescent="0.3">
      <c r="N55">
        <v>0.49056236100504691</v>
      </c>
      <c r="P55">
        <v>1.7278023212439823E-2</v>
      </c>
      <c r="Q55">
        <v>6.4482408409184802E-2</v>
      </c>
      <c r="R55">
        <v>1.7278023212439823E-2</v>
      </c>
      <c r="S55">
        <v>4.6296361053270937E-3</v>
      </c>
      <c r="T55">
        <v>6.4482408409184802E-2</v>
      </c>
      <c r="U55">
        <v>0.24065143003484596</v>
      </c>
      <c r="V55">
        <v>6.4482408409184802E-2</v>
      </c>
      <c r="W55">
        <v>1.7278023212439823E-2</v>
      </c>
      <c r="Y55">
        <f t="shared" si="20"/>
        <v>1.7760571061097037</v>
      </c>
      <c r="Z55">
        <f t="shared" si="13"/>
        <v>6.6283300043112305</v>
      </c>
      <c r="AA55">
        <f t="shared" si="14"/>
        <v>1.7760571061097037</v>
      </c>
      <c r="AB55">
        <f t="shared" si="15"/>
        <v>0.47589345161014762</v>
      </c>
      <c r="AC55">
        <f t="shared" si="16"/>
        <v>6.6283300043112305</v>
      </c>
      <c r="AD55">
        <f t="shared" si="17"/>
        <v>24.737244368390677</v>
      </c>
      <c r="AE55">
        <f t="shared" si="18"/>
        <v>6.6283300043112305</v>
      </c>
      <c r="AF55">
        <f t="shared" si="19"/>
        <v>1.7760571061097037</v>
      </c>
    </row>
    <row r="56" spans="1:32" x14ac:dyDescent="0.3">
      <c r="N56">
        <v>0.13144589461995312</v>
      </c>
      <c r="P56">
        <v>4.6296361053270929E-3</v>
      </c>
      <c r="Q56">
        <v>1.7278023212439823E-2</v>
      </c>
      <c r="R56">
        <v>4.6296361053270929E-3</v>
      </c>
      <c r="S56">
        <v>1.2405082574675854E-3</v>
      </c>
      <c r="T56">
        <v>1.7278023212439823E-2</v>
      </c>
      <c r="U56">
        <v>6.4482408409184802E-2</v>
      </c>
      <c r="V56">
        <v>1.7278023212439823E-2</v>
      </c>
      <c r="W56">
        <v>4.6296361053270929E-3</v>
      </c>
      <c r="Y56">
        <f t="shared" si="20"/>
        <v>0.47589345161014751</v>
      </c>
      <c r="Z56">
        <f t="shared" si="13"/>
        <v>1.7760571061097037</v>
      </c>
      <c r="AA56">
        <f t="shared" si="14"/>
        <v>0.47589345161014751</v>
      </c>
      <c r="AB56">
        <f t="shared" si="15"/>
        <v>0.12751536901957641</v>
      </c>
      <c r="AC56">
        <f t="shared" si="16"/>
        <v>1.7760571061097037</v>
      </c>
      <c r="AD56">
        <f t="shared" si="17"/>
        <v>6.6283300043112305</v>
      </c>
      <c r="AE56">
        <f t="shared" si="18"/>
        <v>1.7760571061097037</v>
      </c>
      <c r="AF56">
        <f t="shared" si="19"/>
        <v>0.47589345161014751</v>
      </c>
    </row>
    <row r="57" spans="1:32" x14ac:dyDescent="0.3">
      <c r="N57">
        <v>3.5220849755046871E-2</v>
      </c>
      <c r="P57">
        <v>1.2405082574675852E-3</v>
      </c>
      <c r="Q57">
        <v>4.6296361053270929E-3</v>
      </c>
      <c r="R57">
        <v>1.2405082574675852E-3</v>
      </c>
      <c r="S57">
        <v>3.323934542230164E-4</v>
      </c>
      <c r="T57">
        <v>4.6296361053270929E-3</v>
      </c>
      <c r="U57">
        <v>1.7278023212439823E-2</v>
      </c>
      <c r="V57">
        <v>4.6296361053270929E-3</v>
      </c>
      <c r="W57">
        <v>1.2405082574675852E-3</v>
      </c>
      <c r="Y57">
        <f t="shared" si="20"/>
        <v>0.12751536901957639</v>
      </c>
      <c r="Z57">
        <f t="shared" si="13"/>
        <v>0.47589345161014751</v>
      </c>
      <c r="AA57">
        <f t="shared" si="14"/>
        <v>0.12751536901957639</v>
      </c>
      <c r="AB57">
        <f t="shared" si="15"/>
        <v>3.4167667744079602E-2</v>
      </c>
      <c r="AC57">
        <f t="shared" si="16"/>
        <v>0.47589345161014751</v>
      </c>
      <c r="AD57">
        <f t="shared" si="17"/>
        <v>1.7760571061097037</v>
      </c>
      <c r="AE57">
        <f t="shared" si="18"/>
        <v>0.47589345161014751</v>
      </c>
      <c r="AF57">
        <f t="shared" si="19"/>
        <v>0.12751536901957639</v>
      </c>
    </row>
    <row r="59" spans="1:32" ht="15" thickBot="1" x14ac:dyDescent="0.35">
      <c r="A59" t="s">
        <v>27</v>
      </c>
      <c r="B59" t="s">
        <v>33</v>
      </c>
      <c r="C59" t="s">
        <v>28</v>
      </c>
      <c r="E59" t="s">
        <v>30</v>
      </c>
      <c r="N59" t="s">
        <v>31</v>
      </c>
      <c r="R59" t="s">
        <v>29</v>
      </c>
      <c r="V59" t="s">
        <v>17</v>
      </c>
      <c r="W59" t="s">
        <v>77</v>
      </c>
      <c r="X59" t="s">
        <v>76</v>
      </c>
    </row>
    <row r="60" spans="1:32" x14ac:dyDescent="0.3">
      <c r="A60">
        <v>4</v>
      </c>
      <c r="B60" s="2" t="s">
        <v>8</v>
      </c>
      <c r="C60">
        <v>0.57735000000000003</v>
      </c>
      <c r="E60" s="3">
        <f>-(1-C61)*(1-C62)</f>
        <v>-2.4880330225000002</v>
      </c>
      <c r="F60" s="4">
        <f>(1-C61)*(1-C62)</f>
        <v>2.4880330225000002</v>
      </c>
      <c r="G60" s="4">
        <f>(1+C61)*(1-C62)</f>
        <v>0.66666697749999992</v>
      </c>
      <c r="H60" s="4">
        <f>-(1+C61)*(1-C62)</f>
        <v>-0.66666697749999992</v>
      </c>
      <c r="I60" s="4">
        <f>-(1-C61)*(1+C62)</f>
        <v>-0.66666697749999992</v>
      </c>
      <c r="J60" s="4">
        <f>(1-C61)*(1+C62)</f>
        <v>0.66666697749999992</v>
      </c>
      <c r="K60" s="4">
        <f>(1+C61)*(1+C62)</f>
        <v>0.17863302249999999</v>
      </c>
      <c r="L60" s="5">
        <f>-(1+C61)*(1+C62)</f>
        <v>-0.17863302249999999</v>
      </c>
      <c r="N60" s="3">
        <f t="array" ref="N60:P62">MMULT(E60:L62,$B$4:$D$11)</f>
        <v>44.97606604500001</v>
      </c>
      <c r="O60" s="4">
        <v>0</v>
      </c>
      <c r="P60" s="5">
        <v>-1.8692330225000005</v>
      </c>
      <c r="R60" s="3">
        <f t="shared" ref="R60:T62" si="21">$F$4*N60</f>
        <v>5.6220082556250013</v>
      </c>
      <c r="S60" s="4">
        <f t="shared" si="21"/>
        <v>0</v>
      </c>
      <c r="T60" s="5">
        <f t="shared" si="21"/>
        <v>-0.23365412781250006</v>
      </c>
      <c r="V60">
        <f>MDETERM(R60:T62)</f>
        <v>137.48102787628787</v>
      </c>
      <c r="W60">
        <f>V60*X60</f>
        <v>137.48102787628787</v>
      </c>
      <c r="X60">
        <v>1</v>
      </c>
    </row>
    <row r="61" spans="1:32" x14ac:dyDescent="0.3">
      <c r="B61" s="2" t="s">
        <v>9</v>
      </c>
      <c r="C61">
        <v>-0.57735000000000003</v>
      </c>
      <c r="E61" s="6">
        <f>-(1-C60)*(1-C62)</f>
        <v>-0.66666697749999992</v>
      </c>
      <c r="F61" s="7">
        <f>-(1+C60)*(1-C62)</f>
        <v>-2.4880330225000002</v>
      </c>
      <c r="G61" s="7">
        <f>(1+C60)*(1-C62)</f>
        <v>2.4880330225000002</v>
      </c>
      <c r="H61" s="7">
        <f>(1-C60)*(1-C62)</f>
        <v>0.66666697749999992</v>
      </c>
      <c r="I61" s="7">
        <f>-(1-C60)*(1+C62)</f>
        <v>-0.17863302249999999</v>
      </c>
      <c r="J61" s="7">
        <f>-(1+C60)*(1+C62)</f>
        <v>-0.66666697749999992</v>
      </c>
      <c r="K61" s="7">
        <f>(1+C60)*(1+C62)</f>
        <v>0.66666697749999992</v>
      </c>
      <c r="L61" s="8">
        <f>(1-C60)*(1+C62)</f>
        <v>0.17863302249999999</v>
      </c>
      <c r="N61" s="6">
        <v>-4.9760660450000032</v>
      </c>
      <c r="O61" s="7">
        <v>40</v>
      </c>
      <c r="P61" s="8">
        <v>-2.3572669774999997</v>
      </c>
      <c r="R61" s="6">
        <f t="shared" si="21"/>
        <v>-0.62200825562500039</v>
      </c>
      <c r="S61" s="7">
        <f t="shared" si="21"/>
        <v>5</v>
      </c>
      <c r="T61" s="8">
        <f t="shared" si="21"/>
        <v>-0.29465837218749996</v>
      </c>
    </row>
    <row r="62" spans="1:32" ht="15" thickBot="1" x14ac:dyDescent="0.35">
      <c r="B62" s="2" t="s">
        <v>10</v>
      </c>
      <c r="C62">
        <v>-0.57735000000000003</v>
      </c>
      <c r="E62" s="9">
        <f>-(1-C60)*(1-C61)</f>
        <v>-0.66666697749999992</v>
      </c>
      <c r="F62" s="10">
        <f>-(1+C60)*(1-C61)</f>
        <v>-2.4880330225000002</v>
      </c>
      <c r="G62" s="10">
        <f>-(1+C60)*(1+C61)</f>
        <v>-0.66666697749999992</v>
      </c>
      <c r="H62" s="10">
        <f>-(1-C60)*(1+C61)</f>
        <v>-0.17863302249999999</v>
      </c>
      <c r="I62" s="10">
        <f>(1-C60)*(1-C61)</f>
        <v>0.66666697749999992</v>
      </c>
      <c r="J62" s="10">
        <f>(1+C60)*(1-C61)</f>
        <v>2.4880330225000002</v>
      </c>
      <c r="K62" s="10">
        <f>(1+C60)*(1+C61)</f>
        <v>0.66666697749999992</v>
      </c>
      <c r="L62" s="11">
        <f>(1-C60)*(1+C61)</f>
        <v>0.17863302249999999</v>
      </c>
      <c r="N62" s="9">
        <v>-4.9760660450000067</v>
      </c>
      <c r="O62" s="10">
        <v>-4.4408920985006262E-16</v>
      </c>
      <c r="P62" s="11">
        <v>39.3333330225</v>
      </c>
      <c r="R62" s="9">
        <f t="shared" si="21"/>
        <v>-0.62200825562500084</v>
      </c>
      <c r="S62" s="10">
        <f t="shared" si="21"/>
        <v>-5.5511151231257827E-17</v>
      </c>
      <c r="T62" s="11">
        <f t="shared" si="21"/>
        <v>4.9166666278125</v>
      </c>
    </row>
    <row r="64" spans="1:32" x14ac:dyDescent="0.3">
      <c r="E64" t="s">
        <v>49</v>
      </c>
      <c r="F64" t="s">
        <v>50</v>
      </c>
      <c r="G64" t="s">
        <v>51</v>
      </c>
      <c r="H64" t="s">
        <v>52</v>
      </c>
      <c r="I64" t="s">
        <v>53</v>
      </c>
      <c r="J64" t="s">
        <v>54</v>
      </c>
      <c r="K64" t="s">
        <v>78</v>
      </c>
      <c r="L64" t="s">
        <v>79</v>
      </c>
      <c r="N64" t="s">
        <v>72</v>
      </c>
      <c r="P64" t="s">
        <v>73</v>
      </c>
      <c r="Y64" t="s">
        <v>80</v>
      </c>
    </row>
    <row r="65" spans="1:32" x14ac:dyDescent="0.3">
      <c r="E65">
        <f>(1-C60)*(1-C61)*(1-C62)/8</f>
        <v>0.13144589461995312</v>
      </c>
      <c r="F65">
        <f>(1+C60)*(1-C61)*(1-C62)/8</f>
        <v>0.49056236100504691</v>
      </c>
      <c r="G65">
        <f>(1+C60)*(1+C61)*(1-C62)/8</f>
        <v>0.13144589461995312</v>
      </c>
      <c r="H65">
        <f>(1-C60)*(1+C61)*(1-C62)/8</f>
        <v>3.5220849755046871E-2</v>
      </c>
      <c r="I65">
        <f>(1-C60)*(1-C61)*(1+C62)/8</f>
        <v>3.5220849755046871E-2</v>
      </c>
      <c r="J65">
        <f>(1+C60)*(1-C61)*(1+C62)/8</f>
        <v>0.13144589461995312</v>
      </c>
      <c r="K65">
        <f>(1+C60)*(1+C61)*(1+C62)/8</f>
        <v>3.5220849755046871E-2</v>
      </c>
      <c r="L65">
        <f>(1-C60)*(1+C61)*(1+C62)/8</f>
        <v>9.4374058699531246E-3</v>
      </c>
      <c r="N65">
        <f t="array" ref="N65:N72">TRANSPOSE(E65:L65)</f>
        <v>0.13144589461995312</v>
      </c>
      <c r="P65">
        <f t="array" ref="P65:W72">MMULT(N65:N72,E65:L65)</f>
        <v>1.7278023212439823E-2</v>
      </c>
      <c r="Q65">
        <v>6.4482408409184802E-2</v>
      </c>
      <c r="R65">
        <v>1.7278023212439823E-2</v>
      </c>
      <c r="S65">
        <v>4.6296361053270929E-3</v>
      </c>
      <c r="T65">
        <v>4.6296361053270929E-3</v>
      </c>
      <c r="U65">
        <v>1.7278023212439823E-2</v>
      </c>
      <c r="V65">
        <v>4.6296361053270929E-3</v>
      </c>
      <c r="W65">
        <v>1.2405082574675854E-3</v>
      </c>
      <c r="Y65">
        <f>P65*$W$15</f>
        <v>1.7760571061097037</v>
      </c>
      <c r="Z65">
        <f t="shared" ref="Z65:Z72" si="22">Q65*$W$15</f>
        <v>6.6283300043112305</v>
      </c>
      <c r="AA65">
        <f t="shared" ref="AA65:AA72" si="23">R65*$W$15</f>
        <v>1.7760571061097037</v>
      </c>
      <c r="AB65">
        <f t="shared" ref="AB65:AB72" si="24">S65*$W$15</f>
        <v>0.47589345161014751</v>
      </c>
      <c r="AC65">
        <f t="shared" ref="AC65:AC72" si="25">T65*$W$15</f>
        <v>0.47589345161014751</v>
      </c>
      <c r="AD65">
        <f t="shared" ref="AD65:AD72" si="26">U65*$W$15</f>
        <v>1.7760571061097037</v>
      </c>
      <c r="AE65">
        <f t="shared" ref="AE65:AE72" si="27">V65*$W$15</f>
        <v>0.47589345161014751</v>
      </c>
      <c r="AF65">
        <f t="shared" ref="AF65:AF72" si="28">W65*$W$15</f>
        <v>0.12751536901957641</v>
      </c>
    </row>
    <row r="66" spans="1:32" x14ac:dyDescent="0.3">
      <c r="N66">
        <v>0.49056236100504691</v>
      </c>
      <c r="P66">
        <v>6.4482408409184802E-2</v>
      </c>
      <c r="Q66">
        <v>0.24065143003484596</v>
      </c>
      <c r="R66">
        <v>6.4482408409184802E-2</v>
      </c>
      <c r="S66">
        <v>1.7278023212439823E-2</v>
      </c>
      <c r="T66">
        <v>1.7278023212439823E-2</v>
      </c>
      <c r="U66">
        <v>6.4482408409184802E-2</v>
      </c>
      <c r="V66">
        <v>1.7278023212439823E-2</v>
      </c>
      <c r="W66">
        <v>4.6296361053270937E-3</v>
      </c>
      <c r="Y66">
        <f t="shared" ref="Y66:Y72" si="29">P66*$W$15</f>
        <v>6.6283300043112305</v>
      </c>
      <c r="Z66">
        <f t="shared" si="22"/>
        <v>24.737244368390677</v>
      </c>
      <c r="AA66">
        <f t="shared" si="23"/>
        <v>6.6283300043112305</v>
      </c>
      <c r="AB66">
        <f t="shared" si="24"/>
        <v>1.7760571061097037</v>
      </c>
      <c r="AC66">
        <f t="shared" si="25"/>
        <v>1.7760571061097037</v>
      </c>
      <c r="AD66">
        <f t="shared" si="26"/>
        <v>6.6283300043112305</v>
      </c>
      <c r="AE66">
        <f t="shared" si="27"/>
        <v>1.7760571061097037</v>
      </c>
      <c r="AF66">
        <f t="shared" si="28"/>
        <v>0.47589345161014762</v>
      </c>
    </row>
    <row r="67" spans="1:32" x14ac:dyDescent="0.3">
      <c r="N67">
        <v>0.13144589461995312</v>
      </c>
      <c r="P67">
        <v>1.7278023212439823E-2</v>
      </c>
      <c r="Q67">
        <v>6.4482408409184802E-2</v>
      </c>
      <c r="R67">
        <v>1.7278023212439823E-2</v>
      </c>
      <c r="S67">
        <v>4.6296361053270929E-3</v>
      </c>
      <c r="T67">
        <v>4.6296361053270929E-3</v>
      </c>
      <c r="U67">
        <v>1.7278023212439823E-2</v>
      </c>
      <c r="V67">
        <v>4.6296361053270929E-3</v>
      </c>
      <c r="W67">
        <v>1.2405082574675854E-3</v>
      </c>
      <c r="Y67">
        <f t="shared" si="29"/>
        <v>1.7760571061097037</v>
      </c>
      <c r="Z67">
        <f t="shared" si="22"/>
        <v>6.6283300043112305</v>
      </c>
      <c r="AA67">
        <f t="shared" si="23"/>
        <v>1.7760571061097037</v>
      </c>
      <c r="AB67">
        <f t="shared" si="24"/>
        <v>0.47589345161014751</v>
      </c>
      <c r="AC67">
        <f t="shared" si="25"/>
        <v>0.47589345161014751</v>
      </c>
      <c r="AD67">
        <f t="shared" si="26"/>
        <v>1.7760571061097037</v>
      </c>
      <c r="AE67">
        <f t="shared" si="27"/>
        <v>0.47589345161014751</v>
      </c>
      <c r="AF67">
        <f t="shared" si="28"/>
        <v>0.12751536901957641</v>
      </c>
    </row>
    <row r="68" spans="1:32" x14ac:dyDescent="0.3">
      <c r="N68">
        <v>3.5220849755046871E-2</v>
      </c>
      <c r="P68">
        <v>4.6296361053270929E-3</v>
      </c>
      <c r="Q68">
        <v>1.7278023212439823E-2</v>
      </c>
      <c r="R68">
        <v>4.6296361053270929E-3</v>
      </c>
      <c r="S68">
        <v>1.2405082574675852E-3</v>
      </c>
      <c r="T68">
        <v>1.2405082574675852E-3</v>
      </c>
      <c r="U68">
        <v>4.6296361053270929E-3</v>
      </c>
      <c r="V68">
        <v>1.2405082574675852E-3</v>
      </c>
      <c r="W68">
        <v>3.323934542230164E-4</v>
      </c>
      <c r="Y68">
        <f t="shared" si="29"/>
        <v>0.47589345161014751</v>
      </c>
      <c r="Z68">
        <f t="shared" si="22"/>
        <v>1.7760571061097037</v>
      </c>
      <c r="AA68">
        <f t="shared" si="23"/>
        <v>0.47589345161014751</v>
      </c>
      <c r="AB68">
        <f t="shared" si="24"/>
        <v>0.12751536901957639</v>
      </c>
      <c r="AC68">
        <f t="shared" si="25"/>
        <v>0.12751536901957639</v>
      </c>
      <c r="AD68">
        <f t="shared" si="26"/>
        <v>0.47589345161014751</v>
      </c>
      <c r="AE68">
        <f t="shared" si="27"/>
        <v>0.12751536901957639</v>
      </c>
      <c r="AF68">
        <f t="shared" si="28"/>
        <v>3.4167667744079602E-2</v>
      </c>
    </row>
    <row r="69" spans="1:32" x14ac:dyDescent="0.3">
      <c r="N69">
        <v>3.5220849755046871E-2</v>
      </c>
      <c r="P69">
        <v>4.6296361053270929E-3</v>
      </c>
      <c r="Q69">
        <v>1.7278023212439823E-2</v>
      </c>
      <c r="R69">
        <v>4.6296361053270929E-3</v>
      </c>
      <c r="S69">
        <v>1.2405082574675852E-3</v>
      </c>
      <c r="T69">
        <v>1.2405082574675852E-3</v>
      </c>
      <c r="U69">
        <v>4.6296361053270929E-3</v>
      </c>
      <c r="V69">
        <v>1.2405082574675852E-3</v>
      </c>
      <c r="W69">
        <v>3.323934542230164E-4</v>
      </c>
      <c r="Y69">
        <f t="shared" si="29"/>
        <v>0.47589345161014751</v>
      </c>
      <c r="Z69">
        <f t="shared" si="22"/>
        <v>1.7760571061097037</v>
      </c>
      <c r="AA69">
        <f t="shared" si="23"/>
        <v>0.47589345161014751</v>
      </c>
      <c r="AB69">
        <f t="shared" si="24"/>
        <v>0.12751536901957639</v>
      </c>
      <c r="AC69">
        <f t="shared" si="25"/>
        <v>0.12751536901957639</v>
      </c>
      <c r="AD69">
        <f t="shared" si="26"/>
        <v>0.47589345161014751</v>
      </c>
      <c r="AE69">
        <f t="shared" si="27"/>
        <v>0.12751536901957639</v>
      </c>
      <c r="AF69">
        <f t="shared" si="28"/>
        <v>3.4167667744079602E-2</v>
      </c>
    </row>
    <row r="70" spans="1:32" x14ac:dyDescent="0.3">
      <c r="N70">
        <v>0.13144589461995312</v>
      </c>
      <c r="P70">
        <v>1.7278023212439823E-2</v>
      </c>
      <c r="Q70">
        <v>6.4482408409184802E-2</v>
      </c>
      <c r="R70">
        <v>1.7278023212439823E-2</v>
      </c>
      <c r="S70">
        <v>4.6296361053270929E-3</v>
      </c>
      <c r="T70">
        <v>4.6296361053270929E-3</v>
      </c>
      <c r="U70">
        <v>1.7278023212439823E-2</v>
      </c>
      <c r="V70">
        <v>4.6296361053270929E-3</v>
      </c>
      <c r="W70">
        <v>1.2405082574675854E-3</v>
      </c>
      <c r="Y70">
        <f t="shared" si="29"/>
        <v>1.7760571061097037</v>
      </c>
      <c r="Z70">
        <f t="shared" si="22"/>
        <v>6.6283300043112305</v>
      </c>
      <c r="AA70">
        <f t="shared" si="23"/>
        <v>1.7760571061097037</v>
      </c>
      <c r="AB70">
        <f t="shared" si="24"/>
        <v>0.47589345161014751</v>
      </c>
      <c r="AC70">
        <f t="shared" si="25"/>
        <v>0.47589345161014751</v>
      </c>
      <c r="AD70">
        <f t="shared" si="26"/>
        <v>1.7760571061097037</v>
      </c>
      <c r="AE70">
        <f t="shared" si="27"/>
        <v>0.47589345161014751</v>
      </c>
      <c r="AF70">
        <f t="shared" si="28"/>
        <v>0.12751536901957641</v>
      </c>
    </row>
    <row r="71" spans="1:32" x14ac:dyDescent="0.3">
      <c r="N71">
        <v>3.5220849755046871E-2</v>
      </c>
      <c r="P71">
        <v>4.6296361053270929E-3</v>
      </c>
      <c r="Q71">
        <v>1.7278023212439823E-2</v>
      </c>
      <c r="R71">
        <v>4.6296361053270929E-3</v>
      </c>
      <c r="S71">
        <v>1.2405082574675852E-3</v>
      </c>
      <c r="T71">
        <v>1.2405082574675852E-3</v>
      </c>
      <c r="U71">
        <v>4.6296361053270929E-3</v>
      </c>
      <c r="V71">
        <v>1.2405082574675852E-3</v>
      </c>
      <c r="W71">
        <v>3.323934542230164E-4</v>
      </c>
      <c r="Y71">
        <f t="shared" si="29"/>
        <v>0.47589345161014751</v>
      </c>
      <c r="Z71">
        <f t="shared" si="22"/>
        <v>1.7760571061097037</v>
      </c>
      <c r="AA71">
        <f t="shared" si="23"/>
        <v>0.47589345161014751</v>
      </c>
      <c r="AB71">
        <f t="shared" si="24"/>
        <v>0.12751536901957639</v>
      </c>
      <c r="AC71">
        <f t="shared" si="25"/>
        <v>0.12751536901957639</v>
      </c>
      <c r="AD71">
        <f t="shared" si="26"/>
        <v>0.47589345161014751</v>
      </c>
      <c r="AE71">
        <f t="shared" si="27"/>
        <v>0.12751536901957639</v>
      </c>
      <c r="AF71">
        <f t="shared" si="28"/>
        <v>3.4167667744079602E-2</v>
      </c>
    </row>
    <row r="72" spans="1:32" x14ac:dyDescent="0.3">
      <c r="N72">
        <v>9.4374058699531246E-3</v>
      </c>
      <c r="P72">
        <v>1.2405082574675854E-3</v>
      </c>
      <c r="Q72">
        <v>4.6296361053270937E-3</v>
      </c>
      <c r="R72">
        <v>1.2405082574675854E-3</v>
      </c>
      <c r="S72">
        <v>3.323934542230164E-4</v>
      </c>
      <c r="T72">
        <v>3.323934542230164E-4</v>
      </c>
      <c r="U72">
        <v>1.2405082574675854E-3</v>
      </c>
      <c r="V72">
        <v>3.323934542230164E-4</v>
      </c>
      <c r="W72">
        <v>8.9064629554225686E-5</v>
      </c>
      <c r="Y72">
        <f t="shared" si="29"/>
        <v>0.12751536901957641</v>
      </c>
      <c r="Z72">
        <f t="shared" si="22"/>
        <v>0.47589345161014762</v>
      </c>
      <c r="AA72">
        <f t="shared" si="23"/>
        <v>0.12751536901957641</v>
      </c>
      <c r="AB72">
        <f t="shared" si="24"/>
        <v>3.4167667744079602E-2</v>
      </c>
      <c r="AC72">
        <f t="shared" si="25"/>
        <v>3.4167667744079602E-2</v>
      </c>
      <c r="AD72">
        <f t="shared" si="26"/>
        <v>0.12751536901957641</v>
      </c>
      <c r="AE72">
        <f t="shared" si="27"/>
        <v>3.4167667744079602E-2</v>
      </c>
      <c r="AF72">
        <f t="shared" si="28"/>
        <v>9.1552063727360737E-3</v>
      </c>
    </row>
    <row r="74" spans="1:32" ht="15" thickBot="1" x14ac:dyDescent="0.35">
      <c r="A74" t="s">
        <v>27</v>
      </c>
      <c r="B74" t="s">
        <v>33</v>
      </c>
      <c r="C74" t="s">
        <v>28</v>
      </c>
      <c r="E74" t="s">
        <v>30</v>
      </c>
      <c r="N74" t="s">
        <v>31</v>
      </c>
      <c r="R74" t="s">
        <v>29</v>
      </c>
      <c r="V74" t="s">
        <v>17</v>
      </c>
      <c r="W74" t="s">
        <v>77</v>
      </c>
      <c r="X74" t="s">
        <v>76</v>
      </c>
    </row>
    <row r="75" spans="1:32" x14ac:dyDescent="0.3">
      <c r="A75">
        <v>5</v>
      </c>
      <c r="B75" s="2" t="s">
        <v>8</v>
      </c>
      <c r="C75">
        <v>-0.57735000000000003</v>
      </c>
      <c r="E75" s="3">
        <f>-(1-C76)*(1-C77)</f>
        <v>-0.17863302249999999</v>
      </c>
      <c r="F75" s="4">
        <f>(1-C76)*(1-C77)</f>
        <v>0.17863302249999999</v>
      </c>
      <c r="G75" s="4">
        <f>(1+C76)*(1-C77)</f>
        <v>0.66666697749999992</v>
      </c>
      <c r="H75" s="4">
        <f>-(1+C76)*(1-C77)</f>
        <v>-0.66666697749999992</v>
      </c>
      <c r="I75" s="4">
        <f>-(1-C76)*(1+C77)</f>
        <v>-0.66666697749999992</v>
      </c>
      <c r="J75" s="4">
        <f>(1-C76)*(1+C77)</f>
        <v>0.66666697749999992</v>
      </c>
      <c r="K75" s="4">
        <f>(1+C76)*(1+C77)</f>
        <v>2.4880330225000002</v>
      </c>
      <c r="L75" s="5">
        <f>-(1+C76)*(1+C77)</f>
        <v>-2.4880330225000002</v>
      </c>
      <c r="N75" s="3">
        <f t="array" ref="N75:P77">MMULT(E75:L77,$B$4:$D$11)</f>
        <v>40.357266045000003</v>
      </c>
      <c r="O75" s="4">
        <v>0</v>
      </c>
      <c r="P75" s="5">
        <v>-8.7974330225000017</v>
      </c>
      <c r="R75" s="3">
        <f t="shared" ref="R75:T77" si="30">$F$4*N75</f>
        <v>5.0446582556250004</v>
      </c>
      <c r="S75" s="4">
        <f t="shared" si="30"/>
        <v>0</v>
      </c>
      <c r="T75" s="5">
        <f t="shared" si="30"/>
        <v>-1.0996791278125002</v>
      </c>
      <c r="V75">
        <f>MDETERM(R75:T77)</f>
        <v>123.76896571277467</v>
      </c>
      <c r="W75">
        <f>V75*X75</f>
        <v>123.76896571277467</v>
      </c>
      <c r="X75">
        <v>1</v>
      </c>
    </row>
    <row r="76" spans="1:32" x14ac:dyDescent="0.3">
      <c r="B76" s="2" t="s">
        <v>9</v>
      </c>
      <c r="C76">
        <v>0.57735000000000003</v>
      </c>
      <c r="E76" s="6">
        <f>-(1-C75)*(1-C77)</f>
        <v>-0.66666697749999992</v>
      </c>
      <c r="F76" s="7">
        <f>-(1+C75)*(1-C77)</f>
        <v>-0.17863302249999999</v>
      </c>
      <c r="G76" s="7">
        <f>(1+C75)*(1-C77)</f>
        <v>0.17863302249999999</v>
      </c>
      <c r="H76" s="7">
        <f>(1-C75)*(1-C77)</f>
        <v>0.66666697749999992</v>
      </c>
      <c r="I76" s="7">
        <f>-(1-C75)*(1+C77)</f>
        <v>-2.4880330225000002</v>
      </c>
      <c r="J76" s="7">
        <f>-(1+C75)*(1+C77)</f>
        <v>-0.66666697749999992</v>
      </c>
      <c r="K76" s="7">
        <f>(1+C75)*(1+C77)</f>
        <v>0.66666697749999992</v>
      </c>
      <c r="L76" s="8">
        <f>(1-C75)*(1+C77)</f>
        <v>2.4880330225000002</v>
      </c>
      <c r="N76" s="6">
        <v>-0.35726604499999937</v>
      </c>
      <c r="O76" s="7">
        <v>40</v>
      </c>
      <c r="P76" s="8">
        <v>-6.9760669775000075</v>
      </c>
      <c r="R76" s="6">
        <f t="shared" si="30"/>
        <v>-4.4658255624999921E-2</v>
      </c>
      <c r="S76" s="7">
        <f t="shared" si="30"/>
        <v>5</v>
      </c>
      <c r="T76" s="8">
        <f t="shared" si="30"/>
        <v>-0.87200837218750094</v>
      </c>
    </row>
    <row r="77" spans="1:32" ht="15" thickBot="1" x14ac:dyDescent="0.35">
      <c r="B77" s="2" t="s">
        <v>10</v>
      </c>
      <c r="C77">
        <v>0.57735000000000003</v>
      </c>
      <c r="E77" s="9">
        <f>-(1-C75)*(1-C76)</f>
        <v>-0.66666697749999992</v>
      </c>
      <c r="F77" s="10">
        <f>-(1+C75)*(1-C76)</f>
        <v>-0.17863302249999999</v>
      </c>
      <c r="G77" s="10">
        <f>-(1+C75)*(1+C76)</f>
        <v>-0.66666697749999992</v>
      </c>
      <c r="H77" s="10">
        <f>-(1-C75)*(1+C76)</f>
        <v>-2.4880330225000002</v>
      </c>
      <c r="I77" s="10">
        <f>(1-C75)*(1-C76)</f>
        <v>0.66666697749999992</v>
      </c>
      <c r="J77" s="10">
        <f>(1+C75)*(1-C76)</f>
        <v>0.17863302249999999</v>
      </c>
      <c r="K77" s="10">
        <f>(1+C75)*(1+C76)</f>
        <v>0.66666697749999992</v>
      </c>
      <c r="L77" s="11">
        <f>(1-C75)*(1+C76)</f>
        <v>2.4880330225000002</v>
      </c>
      <c r="N77" s="9">
        <v>-0.35726604499999937</v>
      </c>
      <c r="O77" s="10">
        <v>0</v>
      </c>
      <c r="P77" s="11">
        <v>39.3333330225</v>
      </c>
      <c r="R77" s="9">
        <f t="shared" si="30"/>
        <v>-4.4658255624999921E-2</v>
      </c>
      <c r="S77" s="10">
        <f t="shared" si="30"/>
        <v>0</v>
      </c>
      <c r="T77" s="11">
        <f t="shared" si="30"/>
        <v>4.9166666278125</v>
      </c>
    </row>
    <row r="79" spans="1:32" x14ac:dyDescent="0.3">
      <c r="E79" t="s">
        <v>49</v>
      </c>
      <c r="F79" t="s">
        <v>50</v>
      </c>
      <c r="G79" t="s">
        <v>51</v>
      </c>
      <c r="H79" t="s">
        <v>52</v>
      </c>
      <c r="I79" t="s">
        <v>53</v>
      </c>
      <c r="J79" t="s">
        <v>54</v>
      </c>
      <c r="K79" t="s">
        <v>78</v>
      </c>
      <c r="L79" t="s">
        <v>79</v>
      </c>
      <c r="N79" t="s">
        <v>72</v>
      </c>
      <c r="P79" t="s">
        <v>73</v>
      </c>
      <c r="Y79" t="s">
        <v>80</v>
      </c>
    </row>
    <row r="80" spans="1:32" x14ac:dyDescent="0.3">
      <c r="E80">
        <f>(1-C75)*(1-C76)*(1-C77)/8</f>
        <v>3.5220849755046871E-2</v>
      </c>
      <c r="F80">
        <f>(1+C75)*(1-C76)*(1-C77)/8</f>
        <v>9.4374058699531246E-3</v>
      </c>
      <c r="G80">
        <f>(1+C75)*(1+C76)*(1-C77)/8</f>
        <v>3.5220849755046871E-2</v>
      </c>
      <c r="H80">
        <f>(1-C75)*(1+C76)*(1-C77)/8</f>
        <v>0.13144589461995312</v>
      </c>
      <c r="I80">
        <f>(1-C75)*(1-C76)*(1+C77)/8</f>
        <v>0.13144589461995312</v>
      </c>
      <c r="J80">
        <f>(1+C75)*(1-C76)*(1+C77)/8</f>
        <v>3.5220849755046871E-2</v>
      </c>
      <c r="K80">
        <f>(1+C75)*(1+C76)*(1+C77)/8</f>
        <v>0.13144589461995312</v>
      </c>
      <c r="L80">
        <f>(1-C75)*(1+C76)*(1+C77)/8</f>
        <v>0.49056236100504691</v>
      </c>
      <c r="N80">
        <f t="array" ref="N80:N87">TRANSPOSE(E80:L80)</f>
        <v>3.5220849755046871E-2</v>
      </c>
      <c r="P80">
        <f t="array" ref="P80:W87">MMULT(N80:N87,E80:L80)</f>
        <v>1.2405082574675852E-3</v>
      </c>
      <c r="Q80">
        <v>3.323934542230164E-4</v>
      </c>
      <c r="R80">
        <v>1.2405082574675852E-3</v>
      </c>
      <c r="S80">
        <v>4.6296361053270929E-3</v>
      </c>
      <c r="T80">
        <v>4.6296361053270929E-3</v>
      </c>
      <c r="U80">
        <v>1.2405082574675852E-3</v>
      </c>
      <c r="V80">
        <v>4.6296361053270929E-3</v>
      </c>
      <c r="W80">
        <v>1.7278023212439823E-2</v>
      </c>
      <c r="Y80">
        <f>P80*$W$15</f>
        <v>0.12751536901957639</v>
      </c>
      <c r="Z80">
        <f t="shared" ref="Z80:Z87" si="31">Q80*$W$15</f>
        <v>3.4167667744079602E-2</v>
      </c>
      <c r="AA80">
        <f t="shared" ref="AA80:AA87" si="32">R80*$W$15</f>
        <v>0.12751536901957639</v>
      </c>
      <c r="AB80">
        <f t="shared" ref="AB80:AB87" si="33">S80*$W$15</f>
        <v>0.47589345161014751</v>
      </c>
      <c r="AC80">
        <f t="shared" ref="AC80:AC87" si="34">T80*$W$15</f>
        <v>0.47589345161014751</v>
      </c>
      <c r="AD80">
        <f t="shared" ref="AD80:AD87" si="35">U80*$W$15</f>
        <v>0.12751536901957639</v>
      </c>
      <c r="AE80">
        <f t="shared" ref="AE80:AE87" si="36">V80*$W$15</f>
        <v>0.47589345161014751</v>
      </c>
      <c r="AF80">
        <f t="shared" ref="AF80:AF87" si="37">W80*$W$15</f>
        <v>1.7760571061097037</v>
      </c>
    </row>
    <row r="81" spans="1:32" x14ac:dyDescent="0.3">
      <c r="N81">
        <v>9.4374058699531246E-3</v>
      </c>
      <c r="P81">
        <v>3.323934542230164E-4</v>
      </c>
      <c r="Q81">
        <v>8.9064629554225686E-5</v>
      </c>
      <c r="R81">
        <v>3.323934542230164E-4</v>
      </c>
      <c r="S81">
        <v>1.2405082574675854E-3</v>
      </c>
      <c r="T81">
        <v>1.2405082574675854E-3</v>
      </c>
      <c r="U81">
        <v>3.323934542230164E-4</v>
      </c>
      <c r="V81">
        <v>1.2405082574675854E-3</v>
      </c>
      <c r="W81">
        <v>4.6296361053270937E-3</v>
      </c>
      <c r="Y81">
        <f t="shared" ref="Y81:Y87" si="38">P81*$W$15</f>
        <v>3.4167667744079602E-2</v>
      </c>
      <c r="Z81">
        <f t="shared" si="31"/>
        <v>9.1552063727360737E-3</v>
      </c>
      <c r="AA81">
        <f t="shared" si="32"/>
        <v>3.4167667744079602E-2</v>
      </c>
      <c r="AB81">
        <f t="shared" si="33"/>
        <v>0.12751536901957641</v>
      </c>
      <c r="AC81">
        <f t="shared" si="34"/>
        <v>0.12751536901957641</v>
      </c>
      <c r="AD81">
        <f t="shared" si="35"/>
        <v>3.4167667744079602E-2</v>
      </c>
      <c r="AE81">
        <f t="shared" si="36"/>
        <v>0.12751536901957641</v>
      </c>
      <c r="AF81">
        <f t="shared" si="37"/>
        <v>0.47589345161014762</v>
      </c>
    </row>
    <row r="82" spans="1:32" x14ac:dyDescent="0.3">
      <c r="N82">
        <v>3.5220849755046871E-2</v>
      </c>
      <c r="P82">
        <v>1.2405082574675852E-3</v>
      </c>
      <c r="Q82">
        <v>3.323934542230164E-4</v>
      </c>
      <c r="R82">
        <v>1.2405082574675852E-3</v>
      </c>
      <c r="S82">
        <v>4.6296361053270929E-3</v>
      </c>
      <c r="T82">
        <v>4.6296361053270929E-3</v>
      </c>
      <c r="U82">
        <v>1.2405082574675852E-3</v>
      </c>
      <c r="V82">
        <v>4.6296361053270929E-3</v>
      </c>
      <c r="W82">
        <v>1.7278023212439823E-2</v>
      </c>
      <c r="Y82">
        <f t="shared" si="38"/>
        <v>0.12751536901957639</v>
      </c>
      <c r="Z82">
        <f t="shared" si="31"/>
        <v>3.4167667744079602E-2</v>
      </c>
      <c r="AA82">
        <f t="shared" si="32"/>
        <v>0.12751536901957639</v>
      </c>
      <c r="AB82">
        <f t="shared" si="33"/>
        <v>0.47589345161014751</v>
      </c>
      <c r="AC82">
        <f t="shared" si="34"/>
        <v>0.47589345161014751</v>
      </c>
      <c r="AD82">
        <f t="shared" si="35"/>
        <v>0.12751536901957639</v>
      </c>
      <c r="AE82">
        <f t="shared" si="36"/>
        <v>0.47589345161014751</v>
      </c>
      <c r="AF82">
        <f t="shared" si="37"/>
        <v>1.7760571061097037</v>
      </c>
    </row>
    <row r="83" spans="1:32" x14ac:dyDescent="0.3">
      <c r="N83">
        <v>0.13144589461995312</v>
      </c>
      <c r="P83">
        <v>4.6296361053270929E-3</v>
      </c>
      <c r="Q83">
        <v>1.2405082574675854E-3</v>
      </c>
      <c r="R83">
        <v>4.6296361053270929E-3</v>
      </c>
      <c r="S83">
        <v>1.7278023212439823E-2</v>
      </c>
      <c r="T83">
        <v>1.7278023212439823E-2</v>
      </c>
      <c r="U83">
        <v>4.6296361053270929E-3</v>
      </c>
      <c r="V83">
        <v>1.7278023212439823E-2</v>
      </c>
      <c r="W83">
        <v>6.4482408409184802E-2</v>
      </c>
      <c r="Y83">
        <f t="shared" si="38"/>
        <v>0.47589345161014751</v>
      </c>
      <c r="Z83">
        <f t="shared" si="31"/>
        <v>0.12751536901957641</v>
      </c>
      <c r="AA83">
        <f t="shared" si="32"/>
        <v>0.47589345161014751</v>
      </c>
      <c r="AB83">
        <f t="shared" si="33"/>
        <v>1.7760571061097037</v>
      </c>
      <c r="AC83">
        <f t="shared" si="34"/>
        <v>1.7760571061097037</v>
      </c>
      <c r="AD83">
        <f t="shared" si="35"/>
        <v>0.47589345161014751</v>
      </c>
      <c r="AE83">
        <f t="shared" si="36"/>
        <v>1.7760571061097037</v>
      </c>
      <c r="AF83">
        <f t="shared" si="37"/>
        <v>6.6283300043112305</v>
      </c>
    </row>
    <row r="84" spans="1:32" x14ac:dyDescent="0.3">
      <c r="N84">
        <v>0.13144589461995312</v>
      </c>
      <c r="P84">
        <v>4.6296361053270929E-3</v>
      </c>
      <c r="Q84">
        <v>1.2405082574675854E-3</v>
      </c>
      <c r="R84">
        <v>4.6296361053270929E-3</v>
      </c>
      <c r="S84">
        <v>1.7278023212439823E-2</v>
      </c>
      <c r="T84">
        <v>1.7278023212439823E-2</v>
      </c>
      <c r="U84">
        <v>4.6296361053270929E-3</v>
      </c>
      <c r="V84">
        <v>1.7278023212439823E-2</v>
      </c>
      <c r="W84">
        <v>6.4482408409184802E-2</v>
      </c>
      <c r="Y84">
        <f t="shared" si="38"/>
        <v>0.47589345161014751</v>
      </c>
      <c r="Z84">
        <f t="shared" si="31"/>
        <v>0.12751536901957641</v>
      </c>
      <c r="AA84">
        <f t="shared" si="32"/>
        <v>0.47589345161014751</v>
      </c>
      <c r="AB84">
        <f t="shared" si="33"/>
        <v>1.7760571061097037</v>
      </c>
      <c r="AC84">
        <f t="shared" si="34"/>
        <v>1.7760571061097037</v>
      </c>
      <c r="AD84">
        <f t="shared" si="35"/>
        <v>0.47589345161014751</v>
      </c>
      <c r="AE84">
        <f t="shared" si="36"/>
        <v>1.7760571061097037</v>
      </c>
      <c r="AF84">
        <f t="shared" si="37"/>
        <v>6.6283300043112305</v>
      </c>
    </row>
    <row r="85" spans="1:32" x14ac:dyDescent="0.3">
      <c r="N85">
        <v>3.5220849755046871E-2</v>
      </c>
      <c r="P85">
        <v>1.2405082574675852E-3</v>
      </c>
      <c r="Q85">
        <v>3.323934542230164E-4</v>
      </c>
      <c r="R85">
        <v>1.2405082574675852E-3</v>
      </c>
      <c r="S85">
        <v>4.6296361053270929E-3</v>
      </c>
      <c r="T85">
        <v>4.6296361053270929E-3</v>
      </c>
      <c r="U85">
        <v>1.2405082574675852E-3</v>
      </c>
      <c r="V85">
        <v>4.6296361053270929E-3</v>
      </c>
      <c r="W85">
        <v>1.7278023212439823E-2</v>
      </c>
      <c r="Y85">
        <f t="shared" si="38"/>
        <v>0.12751536901957639</v>
      </c>
      <c r="Z85">
        <f t="shared" si="31"/>
        <v>3.4167667744079602E-2</v>
      </c>
      <c r="AA85">
        <f t="shared" si="32"/>
        <v>0.12751536901957639</v>
      </c>
      <c r="AB85">
        <f t="shared" si="33"/>
        <v>0.47589345161014751</v>
      </c>
      <c r="AC85">
        <f t="shared" si="34"/>
        <v>0.47589345161014751</v>
      </c>
      <c r="AD85">
        <f t="shared" si="35"/>
        <v>0.12751536901957639</v>
      </c>
      <c r="AE85">
        <f t="shared" si="36"/>
        <v>0.47589345161014751</v>
      </c>
      <c r="AF85">
        <f t="shared" si="37"/>
        <v>1.7760571061097037</v>
      </c>
    </row>
    <row r="86" spans="1:32" x14ac:dyDescent="0.3">
      <c r="N86">
        <v>0.13144589461995312</v>
      </c>
      <c r="P86">
        <v>4.6296361053270929E-3</v>
      </c>
      <c r="Q86">
        <v>1.2405082574675854E-3</v>
      </c>
      <c r="R86">
        <v>4.6296361053270929E-3</v>
      </c>
      <c r="S86">
        <v>1.7278023212439823E-2</v>
      </c>
      <c r="T86">
        <v>1.7278023212439823E-2</v>
      </c>
      <c r="U86">
        <v>4.6296361053270929E-3</v>
      </c>
      <c r="V86">
        <v>1.7278023212439823E-2</v>
      </c>
      <c r="W86">
        <v>6.4482408409184802E-2</v>
      </c>
      <c r="Y86">
        <f t="shared" si="38"/>
        <v>0.47589345161014751</v>
      </c>
      <c r="Z86">
        <f t="shared" si="31"/>
        <v>0.12751536901957641</v>
      </c>
      <c r="AA86">
        <f t="shared" si="32"/>
        <v>0.47589345161014751</v>
      </c>
      <c r="AB86">
        <f t="shared" si="33"/>
        <v>1.7760571061097037</v>
      </c>
      <c r="AC86">
        <f t="shared" si="34"/>
        <v>1.7760571061097037</v>
      </c>
      <c r="AD86">
        <f t="shared" si="35"/>
        <v>0.47589345161014751</v>
      </c>
      <c r="AE86">
        <f t="shared" si="36"/>
        <v>1.7760571061097037</v>
      </c>
      <c r="AF86">
        <f t="shared" si="37"/>
        <v>6.6283300043112305</v>
      </c>
    </row>
    <row r="87" spans="1:32" x14ac:dyDescent="0.3">
      <c r="N87">
        <v>0.49056236100504691</v>
      </c>
      <c r="P87">
        <v>1.7278023212439823E-2</v>
      </c>
      <c r="Q87">
        <v>4.6296361053270937E-3</v>
      </c>
      <c r="R87">
        <v>1.7278023212439823E-2</v>
      </c>
      <c r="S87">
        <v>6.4482408409184802E-2</v>
      </c>
      <c r="T87">
        <v>6.4482408409184802E-2</v>
      </c>
      <c r="U87">
        <v>1.7278023212439823E-2</v>
      </c>
      <c r="V87">
        <v>6.4482408409184802E-2</v>
      </c>
      <c r="W87">
        <v>0.24065143003484596</v>
      </c>
      <c r="Y87">
        <f t="shared" si="38"/>
        <v>1.7760571061097037</v>
      </c>
      <c r="Z87">
        <f t="shared" si="31"/>
        <v>0.47589345161014762</v>
      </c>
      <c r="AA87">
        <f t="shared" si="32"/>
        <v>1.7760571061097037</v>
      </c>
      <c r="AB87">
        <f t="shared" si="33"/>
        <v>6.6283300043112305</v>
      </c>
      <c r="AC87">
        <f t="shared" si="34"/>
        <v>6.6283300043112305</v>
      </c>
      <c r="AD87">
        <f t="shared" si="35"/>
        <v>1.7760571061097037</v>
      </c>
      <c r="AE87">
        <f t="shared" si="36"/>
        <v>6.6283300043112305</v>
      </c>
      <c r="AF87">
        <f t="shared" si="37"/>
        <v>24.737244368390677</v>
      </c>
    </row>
    <row r="89" spans="1:32" ht="15" thickBot="1" x14ac:dyDescent="0.35">
      <c r="A89" t="s">
        <v>27</v>
      </c>
      <c r="B89" t="s">
        <v>33</v>
      </c>
      <c r="C89" t="s">
        <v>28</v>
      </c>
      <c r="E89" t="s">
        <v>30</v>
      </c>
      <c r="N89" t="s">
        <v>31</v>
      </c>
      <c r="R89" t="s">
        <v>29</v>
      </c>
      <c r="V89" t="s">
        <v>17</v>
      </c>
      <c r="W89" t="s">
        <v>77</v>
      </c>
      <c r="X89" t="s">
        <v>76</v>
      </c>
    </row>
    <row r="90" spans="1:32" x14ac:dyDescent="0.3">
      <c r="A90">
        <v>6</v>
      </c>
      <c r="B90" s="2" t="s">
        <v>8</v>
      </c>
      <c r="C90">
        <v>-0.57735000000000003</v>
      </c>
      <c r="E90" s="3">
        <f>-(1-C91)*(1-C92)</f>
        <v>-0.66666697749999992</v>
      </c>
      <c r="F90" s="4">
        <f>(1-C91)*(1-C92)</f>
        <v>0.66666697749999992</v>
      </c>
      <c r="G90" s="4">
        <f>(1+C91)*(1-C92)</f>
        <v>2.4880330225000002</v>
      </c>
      <c r="H90" s="4">
        <f>-(1+C91)*(1-C92)</f>
        <v>-2.4880330225000002</v>
      </c>
      <c r="I90" s="4">
        <f>-(1-C91)*(1+C92)</f>
        <v>-0.17863302249999999</v>
      </c>
      <c r="J90" s="4">
        <f>(1-C91)*(1+C92)</f>
        <v>0.17863302249999999</v>
      </c>
      <c r="K90" s="4">
        <f>(1+C91)*(1+C92)</f>
        <v>0.66666697749999992</v>
      </c>
      <c r="L90" s="5">
        <f>-(1+C91)*(1+C92)</f>
        <v>-0.66666697749999992</v>
      </c>
      <c r="N90" s="3">
        <f t="array" ref="N90:P92">MMULT(E90:L92,$B$4:$D$11)</f>
        <v>41.333333955000001</v>
      </c>
      <c r="O90" s="4">
        <v>0</v>
      </c>
      <c r="P90" s="5">
        <v>-2.3572669775000001</v>
      </c>
      <c r="R90" s="3">
        <f t="shared" ref="R90:T92" si="39">$F$4*N90</f>
        <v>5.1666667443750001</v>
      </c>
      <c r="S90" s="4">
        <f t="shared" si="39"/>
        <v>0</v>
      </c>
      <c r="T90" s="5">
        <f t="shared" si="39"/>
        <v>-0.29465837218750002</v>
      </c>
      <c r="V90">
        <f>MDETERM(R90:T92)</f>
        <v>126.94809515095012</v>
      </c>
      <c r="W90">
        <f>V90*X90</f>
        <v>126.94809515095012</v>
      </c>
      <c r="X90">
        <v>1</v>
      </c>
    </row>
    <row r="91" spans="1:32" x14ac:dyDescent="0.3">
      <c r="B91" s="2" t="s">
        <v>9</v>
      </c>
      <c r="C91">
        <v>0.57735000000000003</v>
      </c>
      <c r="E91" s="6">
        <f>-(1-C90)*(1-C92)</f>
        <v>-2.4880330225000002</v>
      </c>
      <c r="F91" s="7">
        <f>-(1+C90)*(1-C92)</f>
        <v>-0.66666697749999992</v>
      </c>
      <c r="G91" s="7">
        <f>(1+C90)*(1-C92)</f>
        <v>0.66666697749999992</v>
      </c>
      <c r="H91" s="7">
        <f>(1-C90)*(1-C92)</f>
        <v>2.4880330225000002</v>
      </c>
      <c r="I91" s="7">
        <f>-(1-C90)*(1+C92)</f>
        <v>-0.66666697749999992</v>
      </c>
      <c r="J91" s="7">
        <f>-(1+C90)*(1+C92)</f>
        <v>-0.17863302249999999</v>
      </c>
      <c r="K91" s="7">
        <f>(1+C90)*(1+C92)</f>
        <v>0.17863302249999999</v>
      </c>
      <c r="L91" s="8">
        <f>(1-C90)*(1+C92)</f>
        <v>0.66666697749999992</v>
      </c>
      <c r="N91" s="6">
        <v>-1.3333339550000005</v>
      </c>
      <c r="O91" s="7">
        <v>40</v>
      </c>
      <c r="P91" s="8">
        <v>-1.8692330225000013</v>
      </c>
      <c r="R91" s="6">
        <f t="shared" si="39"/>
        <v>-0.16666674437500006</v>
      </c>
      <c r="S91" s="7">
        <f t="shared" si="39"/>
        <v>5</v>
      </c>
      <c r="T91" s="8">
        <f t="shared" si="39"/>
        <v>-0.23365412781250017</v>
      </c>
    </row>
    <row r="92" spans="1:32" ht="15" thickBot="1" x14ac:dyDescent="0.35">
      <c r="B92" s="2" t="s">
        <v>10</v>
      </c>
      <c r="C92">
        <v>-0.57735000000000003</v>
      </c>
      <c r="E92" s="9">
        <f>-(1-C90)*(1-C91)</f>
        <v>-0.66666697749999992</v>
      </c>
      <c r="F92" s="10">
        <f>-(1+C90)*(1-C91)</f>
        <v>-0.17863302249999999</v>
      </c>
      <c r="G92" s="10">
        <f>-(1+C90)*(1+C91)</f>
        <v>-0.66666697749999992</v>
      </c>
      <c r="H92" s="10">
        <f>-(1-C90)*(1+C91)</f>
        <v>-2.4880330225000002</v>
      </c>
      <c r="I92" s="10">
        <f>(1-C90)*(1-C91)</f>
        <v>0.66666697749999992</v>
      </c>
      <c r="J92" s="10">
        <f>(1+C90)*(1-C91)</f>
        <v>0.17863302249999999</v>
      </c>
      <c r="K92" s="10">
        <f>(1+C90)*(1+C91)</f>
        <v>0.66666697749999992</v>
      </c>
      <c r="L92" s="11">
        <f>(1-C90)*(1+C91)</f>
        <v>2.4880330225000002</v>
      </c>
      <c r="N92" s="9">
        <v>-0.35726604499999937</v>
      </c>
      <c r="O92" s="10">
        <v>0</v>
      </c>
      <c r="P92" s="11">
        <v>39.3333330225</v>
      </c>
      <c r="R92" s="9">
        <f t="shared" si="39"/>
        <v>-4.4658255624999921E-2</v>
      </c>
      <c r="S92" s="10">
        <f t="shared" si="39"/>
        <v>0</v>
      </c>
      <c r="T92" s="11">
        <f t="shared" si="39"/>
        <v>4.9166666278125</v>
      </c>
    </row>
    <row r="94" spans="1:32" x14ac:dyDescent="0.3">
      <c r="E94" t="s">
        <v>49</v>
      </c>
      <c r="F94" t="s">
        <v>50</v>
      </c>
      <c r="G94" t="s">
        <v>51</v>
      </c>
      <c r="H94" t="s">
        <v>52</v>
      </c>
      <c r="I94" t="s">
        <v>53</v>
      </c>
      <c r="J94" t="s">
        <v>54</v>
      </c>
      <c r="K94" t="s">
        <v>78</v>
      </c>
      <c r="L94" t="s">
        <v>79</v>
      </c>
      <c r="N94" t="s">
        <v>72</v>
      </c>
      <c r="P94" t="s">
        <v>73</v>
      </c>
      <c r="Y94" t="s">
        <v>80</v>
      </c>
    </row>
    <row r="95" spans="1:32" x14ac:dyDescent="0.3">
      <c r="E95">
        <f>(1-C90)*(1-C91)*(1-C92)/8</f>
        <v>0.13144589461995312</v>
      </c>
      <c r="F95">
        <f>(1+C90)*(1-C91)*(1-C92)/8</f>
        <v>3.5220849755046871E-2</v>
      </c>
      <c r="G95">
        <f>(1+C90)*(1+C91)*(1-C92)/8</f>
        <v>0.13144589461995312</v>
      </c>
      <c r="H95">
        <f>(1-C90)*(1+C91)*(1-C92)/8</f>
        <v>0.49056236100504691</v>
      </c>
      <c r="I95">
        <f>(1-C90)*(1-C91)*(1+C92)/8</f>
        <v>3.5220849755046871E-2</v>
      </c>
      <c r="J95">
        <f>(1+C90)*(1-C91)*(1+C92)/8</f>
        <v>9.4374058699531246E-3</v>
      </c>
      <c r="K95">
        <f>(1+C90)*(1+C91)*(1+C92)/8</f>
        <v>3.5220849755046871E-2</v>
      </c>
      <c r="L95">
        <f>(1-C90)*(1+C91)*(1+C92)/8</f>
        <v>0.13144589461995312</v>
      </c>
      <c r="N95">
        <f t="array" ref="N95:N102">TRANSPOSE(E95:L95)</f>
        <v>0.13144589461995312</v>
      </c>
      <c r="P95">
        <f t="array" ref="P95:W102">MMULT(N95:N102,E95:L95)</f>
        <v>1.7278023212439823E-2</v>
      </c>
      <c r="Q95">
        <v>4.6296361053270929E-3</v>
      </c>
      <c r="R95">
        <v>1.7278023212439823E-2</v>
      </c>
      <c r="S95">
        <v>6.4482408409184802E-2</v>
      </c>
      <c r="T95">
        <v>4.6296361053270929E-3</v>
      </c>
      <c r="U95">
        <v>1.2405082574675854E-3</v>
      </c>
      <c r="V95">
        <v>4.6296361053270929E-3</v>
      </c>
      <c r="W95">
        <v>1.7278023212439823E-2</v>
      </c>
      <c r="Y95">
        <f>P95*$W$15</f>
        <v>1.7760571061097037</v>
      </c>
      <c r="Z95">
        <f t="shared" ref="Z95:Z102" si="40">Q95*$W$15</f>
        <v>0.47589345161014751</v>
      </c>
      <c r="AA95">
        <f t="shared" ref="AA95:AA102" si="41">R95*$W$15</f>
        <v>1.7760571061097037</v>
      </c>
      <c r="AB95">
        <f t="shared" ref="AB95:AB102" si="42">S95*$W$15</f>
        <v>6.6283300043112305</v>
      </c>
      <c r="AC95">
        <f t="shared" ref="AC95:AC102" si="43">T95*$W$15</f>
        <v>0.47589345161014751</v>
      </c>
      <c r="AD95">
        <f t="shared" ref="AD95:AD102" si="44">U95*$W$15</f>
        <v>0.12751536901957641</v>
      </c>
      <c r="AE95">
        <f t="shared" ref="AE95:AE102" si="45">V95*$W$15</f>
        <v>0.47589345161014751</v>
      </c>
      <c r="AF95">
        <f t="shared" ref="AF95:AF102" si="46">W95*$W$15</f>
        <v>1.7760571061097037</v>
      </c>
    </row>
    <row r="96" spans="1:32" x14ac:dyDescent="0.3">
      <c r="N96">
        <v>3.5220849755046871E-2</v>
      </c>
      <c r="P96">
        <v>4.6296361053270929E-3</v>
      </c>
      <c r="Q96">
        <v>1.2405082574675852E-3</v>
      </c>
      <c r="R96">
        <v>4.6296361053270929E-3</v>
      </c>
      <c r="S96">
        <v>1.7278023212439823E-2</v>
      </c>
      <c r="T96">
        <v>1.2405082574675852E-3</v>
      </c>
      <c r="U96">
        <v>3.323934542230164E-4</v>
      </c>
      <c r="V96">
        <v>1.2405082574675852E-3</v>
      </c>
      <c r="W96">
        <v>4.6296361053270929E-3</v>
      </c>
      <c r="Y96">
        <f t="shared" ref="Y96:Y102" si="47">P96*$W$15</f>
        <v>0.47589345161014751</v>
      </c>
      <c r="Z96">
        <f t="shared" si="40"/>
        <v>0.12751536901957639</v>
      </c>
      <c r="AA96">
        <f t="shared" si="41"/>
        <v>0.47589345161014751</v>
      </c>
      <c r="AB96">
        <f t="shared" si="42"/>
        <v>1.7760571061097037</v>
      </c>
      <c r="AC96">
        <f t="shared" si="43"/>
        <v>0.12751536901957639</v>
      </c>
      <c r="AD96">
        <f t="shared" si="44"/>
        <v>3.4167667744079602E-2</v>
      </c>
      <c r="AE96">
        <f t="shared" si="45"/>
        <v>0.12751536901957639</v>
      </c>
      <c r="AF96">
        <f t="shared" si="46"/>
        <v>0.47589345161014751</v>
      </c>
    </row>
    <row r="97" spans="1:32" x14ac:dyDescent="0.3">
      <c r="N97">
        <v>0.13144589461995312</v>
      </c>
      <c r="P97">
        <v>1.7278023212439823E-2</v>
      </c>
      <c r="Q97">
        <v>4.6296361053270929E-3</v>
      </c>
      <c r="R97">
        <v>1.7278023212439823E-2</v>
      </c>
      <c r="S97">
        <v>6.4482408409184802E-2</v>
      </c>
      <c r="T97">
        <v>4.6296361053270929E-3</v>
      </c>
      <c r="U97">
        <v>1.2405082574675854E-3</v>
      </c>
      <c r="V97">
        <v>4.6296361053270929E-3</v>
      </c>
      <c r="W97">
        <v>1.7278023212439823E-2</v>
      </c>
      <c r="Y97">
        <f t="shared" si="47"/>
        <v>1.7760571061097037</v>
      </c>
      <c r="Z97">
        <f t="shared" si="40"/>
        <v>0.47589345161014751</v>
      </c>
      <c r="AA97">
        <f t="shared" si="41"/>
        <v>1.7760571061097037</v>
      </c>
      <c r="AB97">
        <f t="shared" si="42"/>
        <v>6.6283300043112305</v>
      </c>
      <c r="AC97">
        <f t="shared" si="43"/>
        <v>0.47589345161014751</v>
      </c>
      <c r="AD97">
        <f t="shared" si="44"/>
        <v>0.12751536901957641</v>
      </c>
      <c r="AE97">
        <f t="shared" si="45"/>
        <v>0.47589345161014751</v>
      </c>
      <c r="AF97">
        <f t="shared" si="46"/>
        <v>1.7760571061097037</v>
      </c>
    </row>
    <row r="98" spans="1:32" x14ac:dyDescent="0.3">
      <c r="N98">
        <v>0.49056236100504691</v>
      </c>
      <c r="P98">
        <v>6.4482408409184802E-2</v>
      </c>
      <c r="Q98">
        <v>1.7278023212439823E-2</v>
      </c>
      <c r="R98">
        <v>6.4482408409184802E-2</v>
      </c>
      <c r="S98">
        <v>0.24065143003484596</v>
      </c>
      <c r="T98">
        <v>1.7278023212439823E-2</v>
      </c>
      <c r="U98">
        <v>4.6296361053270937E-3</v>
      </c>
      <c r="V98">
        <v>1.7278023212439823E-2</v>
      </c>
      <c r="W98">
        <v>6.4482408409184802E-2</v>
      </c>
      <c r="Y98">
        <f t="shared" si="47"/>
        <v>6.6283300043112305</v>
      </c>
      <c r="Z98">
        <f t="shared" si="40"/>
        <v>1.7760571061097037</v>
      </c>
      <c r="AA98">
        <f t="shared" si="41"/>
        <v>6.6283300043112305</v>
      </c>
      <c r="AB98">
        <f t="shared" si="42"/>
        <v>24.737244368390677</v>
      </c>
      <c r="AC98">
        <f t="shared" si="43"/>
        <v>1.7760571061097037</v>
      </c>
      <c r="AD98">
        <f t="shared" si="44"/>
        <v>0.47589345161014762</v>
      </c>
      <c r="AE98">
        <f t="shared" si="45"/>
        <v>1.7760571061097037</v>
      </c>
      <c r="AF98">
        <f t="shared" si="46"/>
        <v>6.6283300043112305</v>
      </c>
    </row>
    <row r="99" spans="1:32" x14ac:dyDescent="0.3">
      <c r="N99">
        <v>3.5220849755046871E-2</v>
      </c>
      <c r="P99">
        <v>4.6296361053270929E-3</v>
      </c>
      <c r="Q99">
        <v>1.2405082574675852E-3</v>
      </c>
      <c r="R99">
        <v>4.6296361053270929E-3</v>
      </c>
      <c r="S99">
        <v>1.7278023212439823E-2</v>
      </c>
      <c r="T99">
        <v>1.2405082574675852E-3</v>
      </c>
      <c r="U99">
        <v>3.323934542230164E-4</v>
      </c>
      <c r="V99">
        <v>1.2405082574675852E-3</v>
      </c>
      <c r="W99">
        <v>4.6296361053270929E-3</v>
      </c>
      <c r="Y99">
        <f t="shared" si="47"/>
        <v>0.47589345161014751</v>
      </c>
      <c r="Z99">
        <f t="shared" si="40"/>
        <v>0.12751536901957639</v>
      </c>
      <c r="AA99">
        <f t="shared" si="41"/>
        <v>0.47589345161014751</v>
      </c>
      <c r="AB99">
        <f t="shared" si="42"/>
        <v>1.7760571061097037</v>
      </c>
      <c r="AC99">
        <f t="shared" si="43"/>
        <v>0.12751536901957639</v>
      </c>
      <c r="AD99">
        <f t="shared" si="44"/>
        <v>3.4167667744079602E-2</v>
      </c>
      <c r="AE99">
        <f t="shared" si="45"/>
        <v>0.12751536901957639</v>
      </c>
      <c r="AF99">
        <f t="shared" si="46"/>
        <v>0.47589345161014751</v>
      </c>
    </row>
    <row r="100" spans="1:32" x14ac:dyDescent="0.3">
      <c r="N100">
        <v>9.4374058699531246E-3</v>
      </c>
      <c r="P100">
        <v>1.2405082574675854E-3</v>
      </c>
      <c r="Q100">
        <v>3.323934542230164E-4</v>
      </c>
      <c r="R100">
        <v>1.2405082574675854E-3</v>
      </c>
      <c r="S100">
        <v>4.6296361053270937E-3</v>
      </c>
      <c r="T100">
        <v>3.323934542230164E-4</v>
      </c>
      <c r="U100">
        <v>8.9064629554225686E-5</v>
      </c>
      <c r="V100">
        <v>3.323934542230164E-4</v>
      </c>
      <c r="W100">
        <v>1.2405082574675854E-3</v>
      </c>
      <c r="Y100">
        <f t="shared" si="47"/>
        <v>0.12751536901957641</v>
      </c>
      <c r="Z100">
        <f t="shared" si="40"/>
        <v>3.4167667744079602E-2</v>
      </c>
      <c r="AA100">
        <f t="shared" si="41"/>
        <v>0.12751536901957641</v>
      </c>
      <c r="AB100">
        <f t="shared" si="42"/>
        <v>0.47589345161014762</v>
      </c>
      <c r="AC100">
        <f t="shared" si="43"/>
        <v>3.4167667744079602E-2</v>
      </c>
      <c r="AD100">
        <f t="shared" si="44"/>
        <v>9.1552063727360737E-3</v>
      </c>
      <c r="AE100">
        <f t="shared" si="45"/>
        <v>3.4167667744079602E-2</v>
      </c>
      <c r="AF100">
        <f t="shared" si="46"/>
        <v>0.12751536901957641</v>
      </c>
    </row>
    <row r="101" spans="1:32" x14ac:dyDescent="0.3">
      <c r="N101">
        <v>3.5220849755046871E-2</v>
      </c>
      <c r="P101">
        <v>4.6296361053270929E-3</v>
      </c>
      <c r="Q101">
        <v>1.2405082574675852E-3</v>
      </c>
      <c r="R101">
        <v>4.6296361053270929E-3</v>
      </c>
      <c r="S101">
        <v>1.7278023212439823E-2</v>
      </c>
      <c r="T101">
        <v>1.2405082574675852E-3</v>
      </c>
      <c r="U101">
        <v>3.323934542230164E-4</v>
      </c>
      <c r="V101">
        <v>1.2405082574675852E-3</v>
      </c>
      <c r="W101">
        <v>4.6296361053270929E-3</v>
      </c>
      <c r="Y101">
        <f t="shared" si="47"/>
        <v>0.47589345161014751</v>
      </c>
      <c r="Z101">
        <f t="shared" si="40"/>
        <v>0.12751536901957639</v>
      </c>
      <c r="AA101">
        <f t="shared" si="41"/>
        <v>0.47589345161014751</v>
      </c>
      <c r="AB101">
        <f t="shared" si="42"/>
        <v>1.7760571061097037</v>
      </c>
      <c r="AC101">
        <f t="shared" si="43"/>
        <v>0.12751536901957639</v>
      </c>
      <c r="AD101">
        <f t="shared" si="44"/>
        <v>3.4167667744079602E-2</v>
      </c>
      <c r="AE101">
        <f t="shared" si="45"/>
        <v>0.12751536901957639</v>
      </c>
      <c r="AF101">
        <f t="shared" si="46"/>
        <v>0.47589345161014751</v>
      </c>
    </row>
    <row r="102" spans="1:32" x14ac:dyDescent="0.3">
      <c r="N102">
        <v>0.13144589461995312</v>
      </c>
      <c r="P102">
        <v>1.7278023212439823E-2</v>
      </c>
      <c r="Q102">
        <v>4.6296361053270929E-3</v>
      </c>
      <c r="R102">
        <v>1.7278023212439823E-2</v>
      </c>
      <c r="S102">
        <v>6.4482408409184802E-2</v>
      </c>
      <c r="T102">
        <v>4.6296361053270929E-3</v>
      </c>
      <c r="U102">
        <v>1.2405082574675854E-3</v>
      </c>
      <c r="V102">
        <v>4.6296361053270929E-3</v>
      </c>
      <c r="W102">
        <v>1.7278023212439823E-2</v>
      </c>
      <c r="Y102">
        <f t="shared" si="47"/>
        <v>1.7760571061097037</v>
      </c>
      <c r="Z102">
        <f t="shared" si="40"/>
        <v>0.47589345161014751</v>
      </c>
      <c r="AA102">
        <f t="shared" si="41"/>
        <v>1.7760571061097037</v>
      </c>
      <c r="AB102">
        <f t="shared" si="42"/>
        <v>6.6283300043112305</v>
      </c>
      <c r="AC102">
        <f t="shared" si="43"/>
        <v>0.47589345161014751</v>
      </c>
      <c r="AD102">
        <f t="shared" si="44"/>
        <v>0.12751536901957641</v>
      </c>
      <c r="AE102">
        <f t="shared" si="45"/>
        <v>0.47589345161014751</v>
      </c>
      <c r="AF102">
        <f t="shared" si="46"/>
        <v>1.7760571061097037</v>
      </c>
    </row>
    <row r="104" spans="1:32" ht="15" thickBot="1" x14ac:dyDescent="0.35">
      <c r="A104" t="s">
        <v>27</v>
      </c>
      <c r="B104" t="s">
        <v>33</v>
      </c>
      <c r="C104" t="s">
        <v>28</v>
      </c>
      <c r="E104" t="s">
        <v>30</v>
      </c>
      <c r="N104" t="s">
        <v>31</v>
      </c>
      <c r="R104" t="s">
        <v>29</v>
      </c>
      <c r="V104" t="s">
        <v>17</v>
      </c>
      <c r="W104" t="s">
        <v>77</v>
      </c>
      <c r="X104" t="s">
        <v>76</v>
      </c>
    </row>
    <row r="105" spans="1:32" x14ac:dyDescent="0.3">
      <c r="A105">
        <v>7</v>
      </c>
      <c r="B105" s="2" t="s">
        <v>8</v>
      </c>
      <c r="C105">
        <v>-0.57735000000000003</v>
      </c>
      <c r="E105" s="3">
        <f>-(1-C106)*(1-C107)</f>
        <v>-0.66666697749999992</v>
      </c>
      <c r="F105" s="4">
        <f>(1-C106)*(1-C107)</f>
        <v>0.66666697749999992</v>
      </c>
      <c r="G105" s="4">
        <f>(1+C106)*(1-C107)</f>
        <v>0.17863302249999999</v>
      </c>
      <c r="H105" s="4">
        <f>-(1+C106)*(1-C107)</f>
        <v>-0.17863302249999999</v>
      </c>
      <c r="I105" s="4">
        <f>-(1-C106)*(1+C107)</f>
        <v>-2.4880330225000002</v>
      </c>
      <c r="J105" s="4">
        <f>(1-C106)*(1+C107)</f>
        <v>2.4880330225000002</v>
      </c>
      <c r="K105" s="4">
        <f>(1+C106)*(1+C107)</f>
        <v>0.66666697749999992</v>
      </c>
      <c r="L105" s="5">
        <f>-(1+C106)*(1+C107)</f>
        <v>-0.66666697749999992</v>
      </c>
      <c r="N105" s="3">
        <f t="array" ref="N105:P107">MMULT(E105:L107,$B$4:$D$11)</f>
        <v>41.333333955000001</v>
      </c>
      <c r="O105" s="4">
        <v>0</v>
      </c>
      <c r="P105" s="5">
        <v>-6.976066977500003</v>
      </c>
      <c r="R105" s="3">
        <f t="shared" ref="R105:T107" si="48">$F$4*N105</f>
        <v>5.1666667443750001</v>
      </c>
      <c r="S105" s="4">
        <f t="shared" si="48"/>
        <v>0</v>
      </c>
      <c r="T105" s="5">
        <f t="shared" si="48"/>
        <v>-0.87200837218750038</v>
      </c>
      <c r="V105">
        <f>MDETERM(R105:T107)</f>
        <v>142.77803404089968</v>
      </c>
      <c r="W105">
        <f>V105*X105</f>
        <v>142.77803404089968</v>
      </c>
      <c r="X105">
        <v>1</v>
      </c>
    </row>
    <row r="106" spans="1:32" x14ac:dyDescent="0.3">
      <c r="B106" s="2" t="s">
        <v>9</v>
      </c>
      <c r="C106">
        <v>-0.57735000000000003</v>
      </c>
      <c r="E106" s="6">
        <f>-(1-C105)*(1-C107)</f>
        <v>-0.66666697749999992</v>
      </c>
      <c r="F106" s="7">
        <f>-(1+C105)*(1-C107)</f>
        <v>-0.17863302249999999</v>
      </c>
      <c r="G106" s="7">
        <f>(1+C105)*(1-C107)</f>
        <v>0.17863302249999999</v>
      </c>
      <c r="H106" s="7">
        <f>(1-C105)*(1-C107)</f>
        <v>0.66666697749999992</v>
      </c>
      <c r="I106" s="7">
        <f>-(1-C105)*(1+C107)</f>
        <v>-2.4880330225000002</v>
      </c>
      <c r="J106" s="7">
        <f>-(1+C105)*(1+C107)</f>
        <v>-0.66666697749999992</v>
      </c>
      <c r="K106" s="7">
        <f>(1+C105)*(1+C107)</f>
        <v>0.66666697749999992</v>
      </c>
      <c r="L106" s="8">
        <f>(1-C105)*(1+C107)</f>
        <v>2.4880330225000002</v>
      </c>
      <c r="N106" s="6">
        <v>-0.35726604499999937</v>
      </c>
      <c r="O106" s="7">
        <v>40</v>
      </c>
      <c r="P106" s="8">
        <v>-6.9760669775000075</v>
      </c>
      <c r="R106" s="6">
        <f t="shared" si="48"/>
        <v>-4.4658255624999921E-2</v>
      </c>
      <c r="S106" s="7">
        <f t="shared" si="48"/>
        <v>5</v>
      </c>
      <c r="T106" s="8">
        <f t="shared" si="48"/>
        <v>-0.87200837218750094</v>
      </c>
    </row>
    <row r="107" spans="1:32" ht="15" thickBot="1" x14ac:dyDescent="0.35">
      <c r="B107" s="2" t="s">
        <v>10</v>
      </c>
      <c r="C107">
        <v>0.57735000000000003</v>
      </c>
      <c r="E107" s="9">
        <f>-(1-C105)*(1-C106)</f>
        <v>-2.4880330225000002</v>
      </c>
      <c r="F107" s="10">
        <f>-(1+C105)*(1-C106)</f>
        <v>-0.66666697749999992</v>
      </c>
      <c r="G107" s="10">
        <f>-(1+C105)*(1+C106)</f>
        <v>-0.17863302249999999</v>
      </c>
      <c r="H107" s="10">
        <f>-(1-C105)*(1+C106)</f>
        <v>-0.66666697749999992</v>
      </c>
      <c r="I107" s="10">
        <f>(1-C105)*(1-C106)</f>
        <v>2.4880330225000002</v>
      </c>
      <c r="J107" s="10">
        <f>(1+C105)*(1-C106)</f>
        <v>0.66666697749999992</v>
      </c>
      <c r="K107" s="10">
        <f>(1+C105)*(1+C106)</f>
        <v>0.17863302249999999</v>
      </c>
      <c r="L107" s="11">
        <f>(1-C105)*(1+C106)</f>
        <v>0.66666697749999992</v>
      </c>
      <c r="N107" s="9">
        <v>-1.333333955000001</v>
      </c>
      <c r="O107" s="10">
        <v>0</v>
      </c>
      <c r="P107" s="11">
        <v>44.440166977500013</v>
      </c>
      <c r="R107" s="9">
        <f t="shared" si="48"/>
        <v>-0.16666674437500012</v>
      </c>
      <c r="S107" s="10">
        <f t="shared" si="48"/>
        <v>0</v>
      </c>
      <c r="T107" s="11">
        <f t="shared" si="48"/>
        <v>5.5550208721875016</v>
      </c>
    </row>
    <row r="109" spans="1:32" x14ac:dyDescent="0.3">
      <c r="E109" t="s">
        <v>49</v>
      </c>
      <c r="F109" t="s">
        <v>50</v>
      </c>
      <c r="G109" t="s">
        <v>51</v>
      </c>
      <c r="H109" t="s">
        <v>52</v>
      </c>
      <c r="I109" t="s">
        <v>53</v>
      </c>
      <c r="J109" t="s">
        <v>54</v>
      </c>
      <c r="K109" t="s">
        <v>78</v>
      </c>
      <c r="L109" t="s">
        <v>79</v>
      </c>
      <c r="N109" t="s">
        <v>72</v>
      </c>
      <c r="P109" t="s">
        <v>73</v>
      </c>
      <c r="Y109" t="s">
        <v>80</v>
      </c>
    </row>
    <row r="110" spans="1:32" x14ac:dyDescent="0.3">
      <c r="E110">
        <f>(1-C105)*(1-C106)*(1-C107)/8</f>
        <v>0.13144589461995312</v>
      </c>
      <c r="F110">
        <f>(1+C105)*(1-C106)*(1-C107)/8</f>
        <v>3.5220849755046871E-2</v>
      </c>
      <c r="G110">
        <f>(1+C105)*(1+C106)*(1-C107)/8</f>
        <v>9.4374058699531246E-3</v>
      </c>
      <c r="H110">
        <f>(1-C105)*(1+C106)*(1-C107)/8</f>
        <v>3.5220849755046871E-2</v>
      </c>
      <c r="I110">
        <f>(1-C105)*(1-C106)*(1+C107)/8</f>
        <v>0.49056236100504691</v>
      </c>
      <c r="J110">
        <f>(1+C105)*(1-C106)*(1+C107)/8</f>
        <v>0.13144589461995312</v>
      </c>
      <c r="K110">
        <f>(1+C105)*(1+C106)*(1+C107)/8</f>
        <v>3.5220849755046871E-2</v>
      </c>
      <c r="L110">
        <f>(1-C105)*(1+C106)*(1+C107)/8</f>
        <v>0.13144589461995312</v>
      </c>
      <c r="N110">
        <f t="array" ref="N110:N117">TRANSPOSE(E110:L110)</f>
        <v>0.13144589461995312</v>
      </c>
      <c r="P110">
        <f t="array" ref="P110:W117">MMULT(N110:N117,E110:L110)</f>
        <v>1.7278023212439823E-2</v>
      </c>
      <c r="Q110">
        <v>4.6296361053270929E-3</v>
      </c>
      <c r="R110">
        <v>1.2405082574675854E-3</v>
      </c>
      <c r="S110">
        <v>4.6296361053270929E-3</v>
      </c>
      <c r="T110">
        <v>6.4482408409184802E-2</v>
      </c>
      <c r="U110">
        <v>1.7278023212439823E-2</v>
      </c>
      <c r="V110">
        <v>4.6296361053270929E-3</v>
      </c>
      <c r="W110">
        <v>1.7278023212439823E-2</v>
      </c>
      <c r="Y110">
        <f>P110*$W$15</f>
        <v>1.7760571061097037</v>
      </c>
      <c r="Z110">
        <f t="shared" ref="Z110:Z117" si="49">Q110*$W$15</f>
        <v>0.47589345161014751</v>
      </c>
      <c r="AA110">
        <f t="shared" ref="AA110:AA117" si="50">R110*$W$15</f>
        <v>0.12751536901957641</v>
      </c>
      <c r="AB110">
        <f t="shared" ref="AB110:AB117" si="51">S110*$W$15</f>
        <v>0.47589345161014751</v>
      </c>
      <c r="AC110">
        <f t="shared" ref="AC110:AC117" si="52">T110*$W$15</f>
        <v>6.6283300043112305</v>
      </c>
      <c r="AD110">
        <f t="shared" ref="AD110:AD117" si="53">U110*$W$15</f>
        <v>1.7760571061097037</v>
      </c>
      <c r="AE110">
        <f t="shared" ref="AE110:AE117" si="54">V110*$W$15</f>
        <v>0.47589345161014751</v>
      </c>
      <c r="AF110">
        <f t="shared" ref="AF110:AF117" si="55">W110*$W$15</f>
        <v>1.7760571061097037</v>
      </c>
    </row>
    <row r="111" spans="1:32" x14ac:dyDescent="0.3">
      <c r="N111">
        <v>3.5220849755046871E-2</v>
      </c>
      <c r="P111">
        <v>4.6296361053270929E-3</v>
      </c>
      <c r="Q111">
        <v>1.2405082574675852E-3</v>
      </c>
      <c r="R111">
        <v>3.323934542230164E-4</v>
      </c>
      <c r="S111">
        <v>1.2405082574675852E-3</v>
      </c>
      <c r="T111">
        <v>1.7278023212439823E-2</v>
      </c>
      <c r="U111">
        <v>4.6296361053270929E-3</v>
      </c>
      <c r="V111">
        <v>1.2405082574675852E-3</v>
      </c>
      <c r="W111">
        <v>4.6296361053270929E-3</v>
      </c>
      <c r="Y111">
        <f t="shared" ref="Y111:Y117" si="56">P111*$W$15</f>
        <v>0.47589345161014751</v>
      </c>
      <c r="Z111">
        <f t="shared" si="49"/>
        <v>0.12751536901957639</v>
      </c>
      <c r="AA111">
        <f t="shared" si="50"/>
        <v>3.4167667744079602E-2</v>
      </c>
      <c r="AB111">
        <f t="shared" si="51"/>
        <v>0.12751536901957639</v>
      </c>
      <c r="AC111">
        <f t="shared" si="52"/>
        <v>1.7760571061097037</v>
      </c>
      <c r="AD111">
        <f t="shared" si="53"/>
        <v>0.47589345161014751</v>
      </c>
      <c r="AE111">
        <f t="shared" si="54"/>
        <v>0.12751536901957639</v>
      </c>
      <c r="AF111">
        <f t="shared" si="55"/>
        <v>0.47589345161014751</v>
      </c>
    </row>
    <row r="112" spans="1:32" x14ac:dyDescent="0.3">
      <c r="N112">
        <v>9.4374058699531246E-3</v>
      </c>
      <c r="P112">
        <v>1.2405082574675854E-3</v>
      </c>
      <c r="Q112">
        <v>3.323934542230164E-4</v>
      </c>
      <c r="R112">
        <v>8.9064629554225686E-5</v>
      </c>
      <c r="S112">
        <v>3.323934542230164E-4</v>
      </c>
      <c r="T112">
        <v>4.6296361053270937E-3</v>
      </c>
      <c r="U112">
        <v>1.2405082574675854E-3</v>
      </c>
      <c r="V112">
        <v>3.323934542230164E-4</v>
      </c>
      <c r="W112">
        <v>1.2405082574675854E-3</v>
      </c>
      <c r="Y112">
        <f t="shared" si="56"/>
        <v>0.12751536901957641</v>
      </c>
      <c r="Z112">
        <f t="shared" si="49"/>
        <v>3.4167667744079602E-2</v>
      </c>
      <c r="AA112">
        <f t="shared" si="50"/>
        <v>9.1552063727360737E-3</v>
      </c>
      <c r="AB112">
        <f t="shared" si="51"/>
        <v>3.4167667744079602E-2</v>
      </c>
      <c r="AC112">
        <f t="shared" si="52"/>
        <v>0.47589345161014762</v>
      </c>
      <c r="AD112">
        <f t="shared" si="53"/>
        <v>0.12751536901957641</v>
      </c>
      <c r="AE112">
        <f t="shared" si="54"/>
        <v>3.4167667744079602E-2</v>
      </c>
      <c r="AF112">
        <f t="shared" si="55"/>
        <v>0.12751536901957641</v>
      </c>
    </row>
    <row r="113" spans="1:32" x14ac:dyDescent="0.3">
      <c r="N113">
        <v>3.5220849755046871E-2</v>
      </c>
      <c r="P113">
        <v>4.6296361053270929E-3</v>
      </c>
      <c r="Q113">
        <v>1.2405082574675852E-3</v>
      </c>
      <c r="R113">
        <v>3.323934542230164E-4</v>
      </c>
      <c r="S113">
        <v>1.2405082574675852E-3</v>
      </c>
      <c r="T113">
        <v>1.7278023212439823E-2</v>
      </c>
      <c r="U113">
        <v>4.6296361053270929E-3</v>
      </c>
      <c r="V113">
        <v>1.2405082574675852E-3</v>
      </c>
      <c r="W113">
        <v>4.6296361053270929E-3</v>
      </c>
      <c r="Y113">
        <f t="shared" si="56"/>
        <v>0.47589345161014751</v>
      </c>
      <c r="Z113">
        <f t="shared" si="49"/>
        <v>0.12751536901957639</v>
      </c>
      <c r="AA113">
        <f t="shared" si="50"/>
        <v>3.4167667744079602E-2</v>
      </c>
      <c r="AB113">
        <f t="shared" si="51"/>
        <v>0.12751536901957639</v>
      </c>
      <c r="AC113">
        <f t="shared" si="52"/>
        <v>1.7760571061097037</v>
      </c>
      <c r="AD113">
        <f t="shared" si="53"/>
        <v>0.47589345161014751</v>
      </c>
      <c r="AE113">
        <f t="shared" si="54"/>
        <v>0.12751536901957639</v>
      </c>
      <c r="AF113">
        <f t="shared" si="55"/>
        <v>0.47589345161014751</v>
      </c>
    </row>
    <row r="114" spans="1:32" x14ac:dyDescent="0.3">
      <c r="N114">
        <v>0.49056236100504691</v>
      </c>
      <c r="P114">
        <v>6.4482408409184802E-2</v>
      </c>
      <c r="Q114">
        <v>1.7278023212439823E-2</v>
      </c>
      <c r="R114">
        <v>4.6296361053270937E-3</v>
      </c>
      <c r="S114">
        <v>1.7278023212439823E-2</v>
      </c>
      <c r="T114">
        <v>0.24065143003484596</v>
      </c>
      <c r="U114">
        <v>6.4482408409184802E-2</v>
      </c>
      <c r="V114">
        <v>1.7278023212439823E-2</v>
      </c>
      <c r="W114">
        <v>6.4482408409184802E-2</v>
      </c>
      <c r="Y114">
        <f t="shared" si="56"/>
        <v>6.6283300043112305</v>
      </c>
      <c r="Z114">
        <f t="shared" si="49"/>
        <v>1.7760571061097037</v>
      </c>
      <c r="AA114">
        <f t="shared" si="50"/>
        <v>0.47589345161014762</v>
      </c>
      <c r="AB114">
        <f t="shared" si="51"/>
        <v>1.7760571061097037</v>
      </c>
      <c r="AC114">
        <f t="shared" si="52"/>
        <v>24.737244368390677</v>
      </c>
      <c r="AD114">
        <f t="shared" si="53"/>
        <v>6.6283300043112305</v>
      </c>
      <c r="AE114">
        <f t="shared" si="54"/>
        <v>1.7760571061097037</v>
      </c>
      <c r="AF114">
        <f t="shared" si="55"/>
        <v>6.6283300043112305</v>
      </c>
    </row>
    <row r="115" spans="1:32" x14ac:dyDescent="0.3">
      <c r="N115">
        <v>0.13144589461995312</v>
      </c>
      <c r="P115">
        <v>1.7278023212439823E-2</v>
      </c>
      <c r="Q115">
        <v>4.6296361053270929E-3</v>
      </c>
      <c r="R115">
        <v>1.2405082574675854E-3</v>
      </c>
      <c r="S115">
        <v>4.6296361053270929E-3</v>
      </c>
      <c r="T115">
        <v>6.4482408409184802E-2</v>
      </c>
      <c r="U115">
        <v>1.7278023212439823E-2</v>
      </c>
      <c r="V115">
        <v>4.6296361053270929E-3</v>
      </c>
      <c r="W115">
        <v>1.7278023212439823E-2</v>
      </c>
      <c r="Y115">
        <f t="shared" si="56"/>
        <v>1.7760571061097037</v>
      </c>
      <c r="Z115">
        <f t="shared" si="49"/>
        <v>0.47589345161014751</v>
      </c>
      <c r="AA115">
        <f t="shared" si="50"/>
        <v>0.12751536901957641</v>
      </c>
      <c r="AB115">
        <f t="shared" si="51"/>
        <v>0.47589345161014751</v>
      </c>
      <c r="AC115">
        <f t="shared" si="52"/>
        <v>6.6283300043112305</v>
      </c>
      <c r="AD115">
        <f t="shared" si="53"/>
        <v>1.7760571061097037</v>
      </c>
      <c r="AE115">
        <f t="shared" si="54"/>
        <v>0.47589345161014751</v>
      </c>
      <c r="AF115">
        <f t="shared" si="55"/>
        <v>1.7760571061097037</v>
      </c>
    </row>
    <row r="116" spans="1:32" x14ac:dyDescent="0.3">
      <c r="N116">
        <v>3.5220849755046871E-2</v>
      </c>
      <c r="P116">
        <v>4.6296361053270929E-3</v>
      </c>
      <c r="Q116">
        <v>1.2405082574675852E-3</v>
      </c>
      <c r="R116">
        <v>3.323934542230164E-4</v>
      </c>
      <c r="S116">
        <v>1.2405082574675852E-3</v>
      </c>
      <c r="T116">
        <v>1.7278023212439823E-2</v>
      </c>
      <c r="U116">
        <v>4.6296361053270929E-3</v>
      </c>
      <c r="V116">
        <v>1.2405082574675852E-3</v>
      </c>
      <c r="W116">
        <v>4.6296361053270929E-3</v>
      </c>
      <c r="Y116">
        <f t="shared" si="56"/>
        <v>0.47589345161014751</v>
      </c>
      <c r="Z116">
        <f t="shared" si="49"/>
        <v>0.12751536901957639</v>
      </c>
      <c r="AA116">
        <f t="shared" si="50"/>
        <v>3.4167667744079602E-2</v>
      </c>
      <c r="AB116">
        <f t="shared" si="51"/>
        <v>0.12751536901957639</v>
      </c>
      <c r="AC116">
        <f t="shared" si="52"/>
        <v>1.7760571061097037</v>
      </c>
      <c r="AD116">
        <f t="shared" si="53"/>
        <v>0.47589345161014751</v>
      </c>
      <c r="AE116">
        <f t="shared" si="54"/>
        <v>0.12751536901957639</v>
      </c>
      <c r="AF116">
        <f t="shared" si="55"/>
        <v>0.47589345161014751</v>
      </c>
    </row>
    <row r="117" spans="1:32" x14ac:dyDescent="0.3">
      <c r="N117">
        <v>0.13144589461995312</v>
      </c>
      <c r="P117">
        <v>1.7278023212439823E-2</v>
      </c>
      <c r="Q117">
        <v>4.6296361053270929E-3</v>
      </c>
      <c r="R117">
        <v>1.2405082574675854E-3</v>
      </c>
      <c r="S117">
        <v>4.6296361053270929E-3</v>
      </c>
      <c r="T117">
        <v>6.4482408409184802E-2</v>
      </c>
      <c r="U117">
        <v>1.7278023212439823E-2</v>
      </c>
      <c r="V117">
        <v>4.6296361053270929E-3</v>
      </c>
      <c r="W117">
        <v>1.7278023212439823E-2</v>
      </c>
      <c r="Y117">
        <f t="shared" si="56"/>
        <v>1.7760571061097037</v>
      </c>
      <c r="Z117">
        <f t="shared" si="49"/>
        <v>0.47589345161014751</v>
      </c>
      <c r="AA117">
        <f t="shared" si="50"/>
        <v>0.12751536901957641</v>
      </c>
      <c r="AB117">
        <f t="shared" si="51"/>
        <v>0.47589345161014751</v>
      </c>
      <c r="AC117">
        <f t="shared" si="52"/>
        <v>6.6283300043112305</v>
      </c>
      <c r="AD117">
        <f t="shared" si="53"/>
        <v>1.7760571061097037</v>
      </c>
      <c r="AE117">
        <f t="shared" si="54"/>
        <v>0.47589345161014751</v>
      </c>
      <c r="AF117">
        <f t="shared" si="55"/>
        <v>1.7760571061097037</v>
      </c>
    </row>
    <row r="119" spans="1:32" ht="15" thickBot="1" x14ac:dyDescent="0.35">
      <c r="A119" t="s">
        <v>27</v>
      </c>
      <c r="B119" t="s">
        <v>33</v>
      </c>
      <c r="C119" t="s">
        <v>28</v>
      </c>
      <c r="E119" t="s">
        <v>30</v>
      </c>
      <c r="N119" t="s">
        <v>31</v>
      </c>
      <c r="R119" t="s">
        <v>29</v>
      </c>
      <c r="V119" t="s">
        <v>17</v>
      </c>
      <c r="W119" t="s">
        <v>77</v>
      </c>
      <c r="X119" t="s">
        <v>76</v>
      </c>
    </row>
    <row r="120" spans="1:32" x14ac:dyDescent="0.3">
      <c r="A120">
        <v>8</v>
      </c>
      <c r="B120" s="2" t="s">
        <v>8</v>
      </c>
      <c r="C120">
        <v>-0.57735000000000003</v>
      </c>
      <c r="E120" s="3">
        <f>-(1-C121)*(1-C122)</f>
        <v>-2.4880330225000002</v>
      </c>
      <c r="F120" s="4">
        <f>(1-C121)*(1-C122)</f>
        <v>2.4880330225000002</v>
      </c>
      <c r="G120" s="4">
        <f>(1+C121)*(1-C122)</f>
        <v>0.66666697749999992</v>
      </c>
      <c r="H120" s="4">
        <f>-(1+C121)*(1-C122)</f>
        <v>-0.66666697749999992</v>
      </c>
      <c r="I120" s="4">
        <f>-(1-C121)*(1+C122)</f>
        <v>-0.66666697749999992</v>
      </c>
      <c r="J120" s="4">
        <f>(1-C121)*(1+C122)</f>
        <v>0.66666697749999992</v>
      </c>
      <c r="K120" s="4">
        <f>(1+C121)*(1+C122)</f>
        <v>0.17863302249999999</v>
      </c>
      <c r="L120" s="5">
        <f>-(1+C121)*(1+C122)</f>
        <v>-0.17863302249999999</v>
      </c>
      <c r="N120" s="3">
        <f t="array" ref="N120:P122">MMULT(E120:L122,$B$4:$D$11)</f>
        <v>44.97606604500001</v>
      </c>
      <c r="O120" s="4">
        <v>0</v>
      </c>
      <c r="P120" s="5">
        <v>-1.8692330225000005</v>
      </c>
      <c r="R120" s="3">
        <f t="shared" ref="R120:T122" si="57">$F$4*N120</f>
        <v>5.6220082556250013</v>
      </c>
      <c r="S120" s="4">
        <f t="shared" si="57"/>
        <v>0</v>
      </c>
      <c r="T120" s="5">
        <f t="shared" si="57"/>
        <v>-0.23365412781250006</v>
      </c>
      <c r="V120">
        <f>MDETERM(R120:T122)</f>
        <v>155.9571541540752</v>
      </c>
      <c r="W120">
        <f>V120*X120</f>
        <v>155.9571541540752</v>
      </c>
      <c r="X120">
        <v>1</v>
      </c>
    </row>
    <row r="121" spans="1:32" x14ac:dyDescent="0.3">
      <c r="B121" s="2" t="s">
        <v>9</v>
      </c>
      <c r="C121">
        <v>-0.57735000000000003</v>
      </c>
      <c r="E121" s="6">
        <f>-(1-C120)*(1-C122)</f>
        <v>-2.4880330225000002</v>
      </c>
      <c r="F121" s="7">
        <f>-(1+C120)*(1-C122)</f>
        <v>-0.66666697749999992</v>
      </c>
      <c r="G121" s="7">
        <f>(1+C120)*(1-C122)</f>
        <v>0.66666697749999992</v>
      </c>
      <c r="H121" s="7">
        <f>(1-C120)*(1-C122)</f>
        <v>2.4880330225000002</v>
      </c>
      <c r="I121" s="7">
        <f>-(1-C120)*(1+C122)</f>
        <v>-0.66666697749999992</v>
      </c>
      <c r="J121" s="7">
        <f>-(1+C120)*(1+C122)</f>
        <v>-0.17863302249999999</v>
      </c>
      <c r="K121" s="7">
        <f>(1+C120)*(1+C122)</f>
        <v>0.17863302249999999</v>
      </c>
      <c r="L121" s="8">
        <f>(1-C120)*(1+C122)</f>
        <v>0.66666697749999992</v>
      </c>
      <c r="N121" s="6">
        <v>-1.3333339550000005</v>
      </c>
      <c r="O121" s="7">
        <v>40</v>
      </c>
      <c r="P121" s="8">
        <v>-1.8692330225000013</v>
      </c>
      <c r="R121" s="6">
        <f t="shared" si="57"/>
        <v>-0.16666674437500006</v>
      </c>
      <c r="S121" s="7">
        <f t="shared" si="57"/>
        <v>5</v>
      </c>
      <c r="T121" s="8">
        <f t="shared" si="57"/>
        <v>-0.23365412781250017</v>
      </c>
    </row>
    <row r="122" spans="1:32" ht="15" thickBot="1" x14ac:dyDescent="0.35">
      <c r="B122" s="2" t="s">
        <v>10</v>
      </c>
      <c r="C122">
        <v>-0.57735000000000003</v>
      </c>
      <c r="E122" s="9">
        <f>-(1-C120)*(1-C121)</f>
        <v>-2.4880330225000002</v>
      </c>
      <c r="F122" s="10">
        <f>-(1+C120)*(1-C121)</f>
        <v>-0.66666697749999992</v>
      </c>
      <c r="G122" s="10">
        <f>-(1+C120)*(1+C121)</f>
        <v>-0.17863302249999999</v>
      </c>
      <c r="H122" s="10">
        <f>-(1-C120)*(1+C121)</f>
        <v>-0.66666697749999992</v>
      </c>
      <c r="I122" s="10">
        <f>(1-C120)*(1-C121)</f>
        <v>2.4880330225000002</v>
      </c>
      <c r="J122" s="10">
        <f>(1+C120)*(1-C121)</f>
        <v>0.66666697749999992</v>
      </c>
      <c r="K122" s="10">
        <f>(1+C120)*(1+C121)</f>
        <v>0.17863302249999999</v>
      </c>
      <c r="L122" s="11">
        <f>(1-C120)*(1+C121)</f>
        <v>0.66666697749999992</v>
      </c>
      <c r="N122" s="9">
        <v>-1.333333955000001</v>
      </c>
      <c r="O122" s="10">
        <v>0</v>
      </c>
      <c r="P122" s="11">
        <v>44.440166977500013</v>
      </c>
      <c r="R122" s="9">
        <f t="shared" si="57"/>
        <v>-0.16666674437500012</v>
      </c>
      <c r="S122" s="10">
        <f t="shared" si="57"/>
        <v>0</v>
      </c>
      <c r="T122" s="11">
        <f t="shared" si="57"/>
        <v>5.5550208721875016</v>
      </c>
    </row>
    <row r="124" spans="1:32" x14ac:dyDescent="0.3">
      <c r="E124" t="s">
        <v>49</v>
      </c>
      <c r="F124" t="s">
        <v>50</v>
      </c>
      <c r="G124" t="s">
        <v>51</v>
      </c>
      <c r="H124" t="s">
        <v>52</v>
      </c>
      <c r="I124" t="s">
        <v>53</v>
      </c>
      <c r="J124" t="s">
        <v>54</v>
      </c>
      <c r="K124" t="s">
        <v>78</v>
      </c>
      <c r="L124" t="s">
        <v>79</v>
      </c>
      <c r="N124" t="s">
        <v>72</v>
      </c>
      <c r="P124" t="s">
        <v>73</v>
      </c>
      <c r="Y124" t="s">
        <v>80</v>
      </c>
    </row>
    <row r="125" spans="1:32" x14ac:dyDescent="0.3">
      <c r="E125">
        <f>(1-C120)*(1-C121)*(1-C122)/8</f>
        <v>0.49056236100504691</v>
      </c>
      <c r="F125">
        <f>(1+C120)*(1-C121)*(1-C122)/8</f>
        <v>0.13144589461995312</v>
      </c>
      <c r="G125">
        <f>(1+C120)*(1+C121)*(1-C122)/8</f>
        <v>3.5220849755046871E-2</v>
      </c>
      <c r="H125">
        <f>(1-C120)*(1+C121)*(1-C122)/8</f>
        <v>0.13144589461995312</v>
      </c>
      <c r="I125">
        <f>(1-C120)*(1-C121)*(1+C122)/8</f>
        <v>0.13144589461995312</v>
      </c>
      <c r="J125">
        <f>(1+C120)*(1-C121)*(1+C122)/8</f>
        <v>3.5220849755046871E-2</v>
      </c>
      <c r="K125">
        <f>(1+C120)*(1+C121)*(1+C122)/8</f>
        <v>9.4374058699531246E-3</v>
      </c>
      <c r="L125">
        <f>(1-C120)*(1+C121)*(1+C122)/8</f>
        <v>3.5220849755046871E-2</v>
      </c>
      <c r="N125">
        <f t="array" ref="N125:N132">TRANSPOSE(E125:L125)</f>
        <v>0.49056236100504691</v>
      </c>
      <c r="P125">
        <f t="array" ref="P125:W132">MMULT(N125:N132,E125:L125)</f>
        <v>0.24065143003484596</v>
      </c>
      <c r="Q125">
        <v>6.4482408409184802E-2</v>
      </c>
      <c r="R125">
        <v>1.7278023212439823E-2</v>
      </c>
      <c r="S125">
        <v>6.4482408409184802E-2</v>
      </c>
      <c r="T125">
        <v>6.4482408409184802E-2</v>
      </c>
      <c r="U125">
        <v>1.7278023212439823E-2</v>
      </c>
      <c r="V125">
        <v>4.6296361053270937E-3</v>
      </c>
      <c r="W125">
        <v>1.7278023212439823E-2</v>
      </c>
      <c r="Y125">
        <f>P125*$W$15</f>
        <v>24.737244368390677</v>
      </c>
      <c r="Z125">
        <f t="shared" ref="Z125:Z132" si="58">Q125*$W$15</f>
        <v>6.6283300043112305</v>
      </c>
      <c r="AA125">
        <f t="shared" ref="AA125:AA132" si="59">R125*$W$15</f>
        <v>1.7760571061097037</v>
      </c>
      <c r="AB125">
        <f t="shared" ref="AB125:AB132" si="60">S125*$W$15</f>
        <v>6.6283300043112305</v>
      </c>
      <c r="AC125">
        <f t="shared" ref="AC125:AC132" si="61">T125*$W$15</f>
        <v>6.6283300043112305</v>
      </c>
      <c r="AD125">
        <f t="shared" ref="AD125:AD132" si="62">U125*$W$15</f>
        <v>1.7760571061097037</v>
      </c>
      <c r="AE125">
        <f t="shared" ref="AE125:AE132" si="63">V125*$W$15</f>
        <v>0.47589345161014762</v>
      </c>
      <c r="AF125">
        <f t="shared" ref="AF125:AF132" si="64">W125*$W$15</f>
        <v>1.7760571061097037</v>
      </c>
    </row>
    <row r="126" spans="1:32" x14ac:dyDescent="0.3">
      <c r="N126">
        <v>0.13144589461995312</v>
      </c>
      <c r="P126">
        <v>6.4482408409184802E-2</v>
      </c>
      <c r="Q126">
        <v>1.7278023212439823E-2</v>
      </c>
      <c r="R126">
        <v>4.6296361053270929E-3</v>
      </c>
      <c r="S126">
        <v>1.7278023212439823E-2</v>
      </c>
      <c r="T126">
        <v>1.7278023212439823E-2</v>
      </c>
      <c r="U126">
        <v>4.6296361053270929E-3</v>
      </c>
      <c r="V126">
        <v>1.2405082574675854E-3</v>
      </c>
      <c r="W126">
        <v>4.6296361053270929E-3</v>
      </c>
      <c r="Y126">
        <f t="shared" ref="Y126:Y132" si="65">P126*$W$15</f>
        <v>6.6283300043112305</v>
      </c>
      <c r="Z126">
        <f t="shared" si="58"/>
        <v>1.7760571061097037</v>
      </c>
      <c r="AA126">
        <f t="shared" si="59"/>
        <v>0.47589345161014751</v>
      </c>
      <c r="AB126">
        <f t="shared" si="60"/>
        <v>1.7760571061097037</v>
      </c>
      <c r="AC126">
        <f t="shared" si="61"/>
        <v>1.7760571061097037</v>
      </c>
      <c r="AD126">
        <f t="shared" si="62"/>
        <v>0.47589345161014751</v>
      </c>
      <c r="AE126">
        <f t="shared" si="63"/>
        <v>0.12751536901957641</v>
      </c>
      <c r="AF126">
        <f t="shared" si="64"/>
        <v>0.47589345161014751</v>
      </c>
    </row>
    <row r="127" spans="1:32" x14ac:dyDescent="0.3">
      <c r="N127">
        <v>3.5220849755046871E-2</v>
      </c>
      <c r="P127">
        <v>1.7278023212439823E-2</v>
      </c>
      <c r="Q127">
        <v>4.6296361053270929E-3</v>
      </c>
      <c r="R127">
        <v>1.2405082574675852E-3</v>
      </c>
      <c r="S127">
        <v>4.6296361053270929E-3</v>
      </c>
      <c r="T127">
        <v>4.6296361053270929E-3</v>
      </c>
      <c r="U127">
        <v>1.2405082574675852E-3</v>
      </c>
      <c r="V127">
        <v>3.323934542230164E-4</v>
      </c>
      <c r="W127">
        <v>1.2405082574675852E-3</v>
      </c>
      <c r="Y127">
        <f t="shared" si="65"/>
        <v>1.7760571061097037</v>
      </c>
      <c r="Z127">
        <f t="shared" si="58"/>
        <v>0.47589345161014751</v>
      </c>
      <c r="AA127">
        <f t="shared" si="59"/>
        <v>0.12751536901957639</v>
      </c>
      <c r="AB127">
        <f t="shared" si="60"/>
        <v>0.47589345161014751</v>
      </c>
      <c r="AC127">
        <f t="shared" si="61"/>
        <v>0.47589345161014751</v>
      </c>
      <c r="AD127">
        <f t="shared" si="62"/>
        <v>0.12751536901957639</v>
      </c>
      <c r="AE127">
        <f t="shared" si="63"/>
        <v>3.4167667744079602E-2</v>
      </c>
      <c r="AF127">
        <f t="shared" si="64"/>
        <v>0.12751536901957639</v>
      </c>
    </row>
    <row r="128" spans="1:32" x14ac:dyDescent="0.3">
      <c r="N128">
        <v>0.13144589461995312</v>
      </c>
      <c r="P128">
        <v>6.4482408409184802E-2</v>
      </c>
      <c r="Q128">
        <v>1.7278023212439823E-2</v>
      </c>
      <c r="R128">
        <v>4.6296361053270929E-3</v>
      </c>
      <c r="S128">
        <v>1.7278023212439823E-2</v>
      </c>
      <c r="T128">
        <v>1.7278023212439823E-2</v>
      </c>
      <c r="U128">
        <v>4.6296361053270929E-3</v>
      </c>
      <c r="V128">
        <v>1.2405082574675854E-3</v>
      </c>
      <c r="W128">
        <v>4.6296361053270929E-3</v>
      </c>
      <c r="Y128">
        <f t="shared" si="65"/>
        <v>6.6283300043112305</v>
      </c>
      <c r="Z128">
        <f t="shared" si="58"/>
        <v>1.7760571061097037</v>
      </c>
      <c r="AA128">
        <f t="shared" si="59"/>
        <v>0.47589345161014751</v>
      </c>
      <c r="AB128">
        <f t="shared" si="60"/>
        <v>1.7760571061097037</v>
      </c>
      <c r="AC128">
        <f t="shared" si="61"/>
        <v>1.7760571061097037</v>
      </c>
      <c r="AD128">
        <f t="shared" si="62"/>
        <v>0.47589345161014751</v>
      </c>
      <c r="AE128">
        <f t="shared" si="63"/>
        <v>0.12751536901957641</v>
      </c>
      <c r="AF128">
        <f t="shared" si="64"/>
        <v>0.47589345161014751</v>
      </c>
    </row>
    <row r="129" spans="2:32" x14ac:dyDescent="0.3">
      <c r="N129">
        <v>0.13144589461995312</v>
      </c>
      <c r="P129">
        <v>6.4482408409184802E-2</v>
      </c>
      <c r="Q129">
        <v>1.7278023212439823E-2</v>
      </c>
      <c r="R129">
        <v>4.6296361053270929E-3</v>
      </c>
      <c r="S129">
        <v>1.7278023212439823E-2</v>
      </c>
      <c r="T129">
        <v>1.7278023212439823E-2</v>
      </c>
      <c r="U129">
        <v>4.6296361053270929E-3</v>
      </c>
      <c r="V129">
        <v>1.2405082574675854E-3</v>
      </c>
      <c r="W129">
        <v>4.6296361053270929E-3</v>
      </c>
      <c r="Y129">
        <f t="shared" si="65"/>
        <v>6.6283300043112305</v>
      </c>
      <c r="Z129">
        <f t="shared" si="58"/>
        <v>1.7760571061097037</v>
      </c>
      <c r="AA129">
        <f t="shared" si="59"/>
        <v>0.47589345161014751</v>
      </c>
      <c r="AB129">
        <f t="shared" si="60"/>
        <v>1.7760571061097037</v>
      </c>
      <c r="AC129">
        <f t="shared" si="61"/>
        <v>1.7760571061097037</v>
      </c>
      <c r="AD129">
        <f t="shared" si="62"/>
        <v>0.47589345161014751</v>
      </c>
      <c r="AE129">
        <f t="shared" si="63"/>
        <v>0.12751536901957641</v>
      </c>
      <c r="AF129">
        <f t="shared" si="64"/>
        <v>0.47589345161014751</v>
      </c>
    </row>
    <row r="130" spans="2:32" x14ac:dyDescent="0.3">
      <c r="N130">
        <v>3.5220849755046871E-2</v>
      </c>
      <c r="P130">
        <v>1.7278023212439823E-2</v>
      </c>
      <c r="Q130">
        <v>4.6296361053270929E-3</v>
      </c>
      <c r="R130">
        <v>1.2405082574675852E-3</v>
      </c>
      <c r="S130">
        <v>4.6296361053270929E-3</v>
      </c>
      <c r="T130">
        <v>4.6296361053270929E-3</v>
      </c>
      <c r="U130">
        <v>1.2405082574675852E-3</v>
      </c>
      <c r="V130">
        <v>3.323934542230164E-4</v>
      </c>
      <c r="W130">
        <v>1.2405082574675852E-3</v>
      </c>
      <c r="Y130">
        <f t="shared" si="65"/>
        <v>1.7760571061097037</v>
      </c>
      <c r="Z130">
        <f t="shared" si="58"/>
        <v>0.47589345161014751</v>
      </c>
      <c r="AA130">
        <f t="shared" si="59"/>
        <v>0.12751536901957639</v>
      </c>
      <c r="AB130">
        <f t="shared" si="60"/>
        <v>0.47589345161014751</v>
      </c>
      <c r="AC130">
        <f t="shared" si="61"/>
        <v>0.47589345161014751</v>
      </c>
      <c r="AD130">
        <f t="shared" si="62"/>
        <v>0.12751536901957639</v>
      </c>
      <c r="AE130">
        <f t="shared" si="63"/>
        <v>3.4167667744079602E-2</v>
      </c>
      <c r="AF130">
        <f t="shared" si="64"/>
        <v>0.12751536901957639</v>
      </c>
    </row>
    <row r="131" spans="2:32" x14ac:dyDescent="0.3">
      <c r="N131">
        <v>9.4374058699531246E-3</v>
      </c>
      <c r="P131">
        <v>4.6296361053270937E-3</v>
      </c>
      <c r="Q131">
        <v>1.2405082574675854E-3</v>
      </c>
      <c r="R131">
        <v>3.323934542230164E-4</v>
      </c>
      <c r="S131">
        <v>1.2405082574675854E-3</v>
      </c>
      <c r="T131">
        <v>1.2405082574675854E-3</v>
      </c>
      <c r="U131">
        <v>3.323934542230164E-4</v>
      </c>
      <c r="V131">
        <v>8.9064629554225686E-5</v>
      </c>
      <c r="W131">
        <v>3.323934542230164E-4</v>
      </c>
      <c r="Y131">
        <f t="shared" si="65"/>
        <v>0.47589345161014762</v>
      </c>
      <c r="Z131">
        <f t="shared" si="58"/>
        <v>0.12751536901957641</v>
      </c>
      <c r="AA131">
        <f t="shared" si="59"/>
        <v>3.4167667744079602E-2</v>
      </c>
      <c r="AB131">
        <f t="shared" si="60"/>
        <v>0.12751536901957641</v>
      </c>
      <c r="AC131">
        <f t="shared" si="61"/>
        <v>0.12751536901957641</v>
      </c>
      <c r="AD131">
        <f t="shared" si="62"/>
        <v>3.4167667744079602E-2</v>
      </c>
      <c r="AE131">
        <f t="shared" si="63"/>
        <v>9.1552063727360737E-3</v>
      </c>
      <c r="AF131">
        <f t="shared" si="64"/>
        <v>3.4167667744079602E-2</v>
      </c>
    </row>
    <row r="132" spans="2:32" x14ac:dyDescent="0.3">
      <c r="N132">
        <v>3.5220849755046871E-2</v>
      </c>
      <c r="P132">
        <v>1.7278023212439823E-2</v>
      </c>
      <c r="Q132">
        <v>4.6296361053270929E-3</v>
      </c>
      <c r="R132">
        <v>1.2405082574675852E-3</v>
      </c>
      <c r="S132">
        <v>4.6296361053270929E-3</v>
      </c>
      <c r="T132">
        <v>4.6296361053270929E-3</v>
      </c>
      <c r="U132">
        <v>1.2405082574675852E-3</v>
      </c>
      <c r="V132">
        <v>3.323934542230164E-4</v>
      </c>
      <c r="W132">
        <v>1.2405082574675852E-3</v>
      </c>
      <c r="Y132">
        <f t="shared" si="65"/>
        <v>1.7760571061097037</v>
      </c>
      <c r="Z132">
        <f t="shared" si="58"/>
        <v>0.47589345161014751</v>
      </c>
      <c r="AA132">
        <f t="shared" si="59"/>
        <v>0.12751536901957639</v>
      </c>
      <c r="AB132">
        <f t="shared" si="60"/>
        <v>0.47589345161014751</v>
      </c>
      <c r="AC132">
        <f t="shared" si="61"/>
        <v>0.47589345161014751</v>
      </c>
      <c r="AD132">
        <f t="shared" si="62"/>
        <v>0.12751536901957639</v>
      </c>
      <c r="AE132">
        <f t="shared" si="63"/>
        <v>3.4167667744079602E-2</v>
      </c>
      <c r="AF132">
        <f t="shared" si="64"/>
        <v>0.12751536901957639</v>
      </c>
    </row>
    <row r="134" spans="2:32" x14ac:dyDescent="0.3">
      <c r="X134" t="s">
        <v>81</v>
      </c>
      <c r="Y134" t="s">
        <v>80</v>
      </c>
    </row>
    <row r="135" spans="2:32" x14ac:dyDescent="0.3">
      <c r="Y135">
        <f>Y20+Y35+Y50+Y65+Y80+Y95+Y110+Y125</f>
        <v>30.457117000151253</v>
      </c>
      <c r="Z135">
        <f t="shared" ref="Z135:AF135" si="66">Z20+Z35+Z50+Z65+Z80+Z95+Z110+Z125</f>
        <v>15.228569150551211</v>
      </c>
      <c r="AA135">
        <f t="shared" si="66"/>
        <v>7.6142899005171207</v>
      </c>
      <c r="AB135">
        <f t="shared" si="66"/>
        <v>15.228569150551211</v>
      </c>
      <c r="AC135">
        <f t="shared" si="66"/>
        <v>15.228569150551211</v>
      </c>
      <c r="AD135">
        <f t="shared" si="66"/>
        <v>7.6142899005171207</v>
      </c>
      <c r="AE135">
        <f t="shared" si="66"/>
        <v>3.8071476128811805</v>
      </c>
      <c r="AF135">
        <f t="shared" si="66"/>
        <v>7.6142899005171207</v>
      </c>
    </row>
    <row r="136" spans="2:32" x14ac:dyDescent="0.3">
      <c r="Y136">
        <f t="shared" ref="Y136:AF141" si="67">Y21+Y36+Y51+Y66+Y81+Y96+Y111+Y126</f>
        <v>15.228569150551211</v>
      </c>
      <c r="Z136">
        <f t="shared" si="67"/>
        <v>30.457117000151253</v>
      </c>
      <c r="AA136">
        <f t="shared" si="67"/>
        <v>15.228569150551209</v>
      </c>
      <c r="AB136">
        <f t="shared" si="67"/>
        <v>7.6142899005171207</v>
      </c>
      <c r="AC136">
        <f t="shared" si="67"/>
        <v>7.6142899005171207</v>
      </c>
      <c r="AD136">
        <f t="shared" si="67"/>
        <v>15.228569150551209</v>
      </c>
      <c r="AE136">
        <f t="shared" si="67"/>
        <v>7.6142899005171207</v>
      </c>
      <c r="AF136">
        <f t="shared" si="67"/>
        <v>3.8071476128811805</v>
      </c>
    </row>
    <row r="137" spans="2:32" x14ac:dyDescent="0.3">
      <c r="Y137">
        <f t="shared" si="67"/>
        <v>7.6142899005171207</v>
      </c>
      <c r="Z137">
        <f t="shared" si="67"/>
        <v>15.228569150551209</v>
      </c>
      <c r="AA137">
        <f t="shared" si="67"/>
        <v>30.457117000151253</v>
      </c>
      <c r="AB137">
        <f t="shared" si="67"/>
        <v>15.228569150551209</v>
      </c>
      <c r="AC137">
        <f t="shared" si="67"/>
        <v>3.8071476128811805</v>
      </c>
      <c r="AD137">
        <f t="shared" si="67"/>
        <v>7.6142899005171207</v>
      </c>
      <c r="AE137">
        <f t="shared" si="67"/>
        <v>15.228569150551209</v>
      </c>
      <c r="AF137">
        <f t="shared" si="67"/>
        <v>7.6142899005171207</v>
      </c>
    </row>
    <row r="138" spans="2:32" x14ac:dyDescent="0.3">
      <c r="Y138">
        <f t="shared" si="67"/>
        <v>15.228569150551211</v>
      </c>
      <c r="Z138">
        <f t="shared" si="67"/>
        <v>7.6142899005171207</v>
      </c>
      <c r="AA138">
        <f t="shared" si="67"/>
        <v>15.228569150551209</v>
      </c>
      <c r="AB138">
        <f t="shared" si="67"/>
        <v>30.457117000151253</v>
      </c>
      <c r="AC138">
        <f t="shared" si="67"/>
        <v>7.6142899005171207</v>
      </c>
      <c r="AD138">
        <f t="shared" si="67"/>
        <v>3.8071476128811805</v>
      </c>
      <c r="AE138">
        <f t="shared" si="67"/>
        <v>7.6142899005171207</v>
      </c>
      <c r="AF138">
        <f t="shared" si="67"/>
        <v>15.228569150551211</v>
      </c>
    </row>
    <row r="139" spans="2:32" x14ac:dyDescent="0.3">
      <c r="Y139">
        <f t="shared" si="67"/>
        <v>15.228569150551211</v>
      </c>
      <c r="Z139">
        <f t="shared" si="67"/>
        <v>7.6142899005171207</v>
      </c>
      <c r="AA139">
        <f t="shared" si="67"/>
        <v>3.8071476128811805</v>
      </c>
      <c r="AB139">
        <f t="shared" si="67"/>
        <v>7.6142899005171207</v>
      </c>
      <c r="AC139">
        <f t="shared" si="67"/>
        <v>30.457117000151253</v>
      </c>
      <c r="AD139">
        <f t="shared" si="67"/>
        <v>15.228569150551209</v>
      </c>
      <c r="AE139">
        <f t="shared" si="67"/>
        <v>7.6142899005171207</v>
      </c>
      <c r="AF139">
        <f t="shared" si="67"/>
        <v>15.228569150551211</v>
      </c>
    </row>
    <row r="140" spans="2:32" x14ac:dyDescent="0.3">
      <c r="Y140">
        <f t="shared" si="67"/>
        <v>7.6142899005171207</v>
      </c>
      <c r="Z140">
        <f t="shared" si="67"/>
        <v>15.228569150551209</v>
      </c>
      <c r="AA140">
        <f t="shared" si="67"/>
        <v>7.6142899005171207</v>
      </c>
      <c r="AB140">
        <f t="shared" si="67"/>
        <v>3.8071476128811805</v>
      </c>
      <c r="AC140">
        <f t="shared" si="67"/>
        <v>15.228569150551209</v>
      </c>
      <c r="AD140">
        <f t="shared" si="67"/>
        <v>30.457117000151253</v>
      </c>
      <c r="AE140">
        <f t="shared" si="67"/>
        <v>15.228569150551209</v>
      </c>
      <c r="AF140">
        <f t="shared" si="67"/>
        <v>7.6142899005171207</v>
      </c>
    </row>
    <row r="141" spans="2:32" x14ac:dyDescent="0.3">
      <c r="Y141">
        <f t="shared" si="67"/>
        <v>3.8071476128811805</v>
      </c>
      <c r="Z141">
        <f t="shared" si="67"/>
        <v>7.6142899005171207</v>
      </c>
      <c r="AA141">
        <f t="shared" si="67"/>
        <v>15.228569150551209</v>
      </c>
      <c r="AB141">
        <f t="shared" si="67"/>
        <v>7.6142899005171207</v>
      </c>
      <c r="AC141">
        <f t="shared" si="67"/>
        <v>7.6142899005171207</v>
      </c>
      <c r="AD141">
        <f t="shared" si="67"/>
        <v>15.228569150551209</v>
      </c>
      <c r="AE141">
        <f t="shared" si="67"/>
        <v>30.457117000151253</v>
      </c>
      <c r="AF141">
        <f t="shared" si="67"/>
        <v>15.228569150551209</v>
      </c>
    </row>
    <row r="142" spans="2:32" x14ac:dyDescent="0.3">
      <c r="Y142">
        <f>Y27+Y42+Y57+Y72+Y87+Y102+Y117+Y132</f>
        <v>7.6142899005171207</v>
      </c>
      <c r="Z142">
        <f t="shared" ref="Z142:AF142" si="68">Z27+Z42+Z57+Z72+Z87+Z102+Z117+Z132</f>
        <v>3.8071476128811805</v>
      </c>
      <c r="AA142">
        <f t="shared" si="68"/>
        <v>7.6142899005171207</v>
      </c>
      <c r="AB142">
        <f t="shared" si="68"/>
        <v>15.228569150551211</v>
      </c>
      <c r="AC142">
        <f t="shared" si="68"/>
        <v>15.228569150551211</v>
      </c>
      <c r="AD142">
        <f t="shared" si="68"/>
        <v>7.6142899005171207</v>
      </c>
      <c r="AE142">
        <f t="shared" si="68"/>
        <v>15.228569150551209</v>
      </c>
      <c r="AF142">
        <f t="shared" si="68"/>
        <v>30.457117000151253</v>
      </c>
    </row>
    <row r="144" spans="2:32" ht="15" thickBot="1" x14ac:dyDescent="0.35">
      <c r="B144" t="s">
        <v>82</v>
      </c>
      <c r="X144" t="s">
        <v>14</v>
      </c>
    </row>
    <row r="145" spans="2:32" x14ac:dyDescent="0.3">
      <c r="B145" s="2" t="s">
        <v>8</v>
      </c>
      <c r="C145">
        <v>0</v>
      </c>
      <c r="E145" s="3">
        <f>-(1-C146)*(1-C147)</f>
        <v>-1</v>
      </c>
      <c r="F145" s="4">
        <f>(1-C146)*(1-C147)</f>
        <v>1</v>
      </c>
      <c r="G145" s="4">
        <f>(1+C146)*(1-C147)</f>
        <v>1</v>
      </c>
      <c r="H145" s="4">
        <f>-(1+C146)*(1-C147)</f>
        <v>-1</v>
      </c>
      <c r="I145" s="4">
        <f>-(1-C146)*(1+C147)</f>
        <v>-1</v>
      </c>
      <c r="J145" s="4">
        <f>(1-C146)*(1+C147)</f>
        <v>1</v>
      </c>
      <c r="K145" s="4">
        <f>(1+C146)*(1+C147)</f>
        <v>1</v>
      </c>
      <c r="L145" s="5">
        <f>-(1+C146)*(1+C147)</f>
        <v>-1</v>
      </c>
      <c r="N145" s="3">
        <f t="array" ref="N145:P147">MMULT(E145:L147,$B$4:$D$11)</f>
        <v>42</v>
      </c>
      <c r="O145" s="4">
        <v>0</v>
      </c>
      <c r="P145" s="5">
        <v>-5</v>
      </c>
      <c r="R145" s="3">
        <f t="shared" ref="R145:T147" si="69">$F$4*N145</f>
        <v>5.25</v>
      </c>
      <c r="S145" s="4">
        <f t="shared" si="69"/>
        <v>0</v>
      </c>
      <c r="T145" s="5">
        <f t="shared" si="69"/>
        <v>-0.625</v>
      </c>
      <c r="V145">
        <f>MDETERM(R145:T147)</f>
        <v>127.18749999999999</v>
      </c>
      <c r="W145" s="16">
        <f>V145*X145</f>
        <v>1017.4999999999999</v>
      </c>
      <c r="X145">
        <v>8</v>
      </c>
    </row>
    <row r="146" spans="2:32" x14ac:dyDescent="0.3">
      <c r="B146" s="2" t="s">
        <v>9</v>
      </c>
      <c r="C146">
        <v>0</v>
      </c>
      <c r="E146" s="6">
        <f>-(1-C145)*(1-C147)</f>
        <v>-1</v>
      </c>
      <c r="F146" s="7">
        <f>-(1+C145)*(1-C147)</f>
        <v>-1</v>
      </c>
      <c r="G146" s="7">
        <f>(1+C145)*(1-C147)</f>
        <v>1</v>
      </c>
      <c r="H146" s="7">
        <f>(1-C145)*(1-C147)</f>
        <v>1</v>
      </c>
      <c r="I146" s="7">
        <f>-(1-C145)*(1+C147)</f>
        <v>-1</v>
      </c>
      <c r="J146" s="7">
        <f>-(1+C145)*(1+C147)</f>
        <v>-1</v>
      </c>
      <c r="K146" s="7">
        <f>(1+C145)*(1+C147)</f>
        <v>1</v>
      </c>
      <c r="L146" s="8">
        <f>(1-C145)*(1+C147)</f>
        <v>1</v>
      </c>
      <c r="N146" s="6">
        <v>-2</v>
      </c>
      <c r="O146" s="7">
        <v>40</v>
      </c>
      <c r="P146" s="8">
        <v>-5</v>
      </c>
      <c r="R146" s="6">
        <f t="shared" si="69"/>
        <v>-0.25</v>
      </c>
      <c r="S146" s="7">
        <f t="shared" si="69"/>
        <v>5</v>
      </c>
      <c r="T146" s="8">
        <f t="shared" si="69"/>
        <v>-0.625</v>
      </c>
    </row>
    <row r="147" spans="2:32" ht="15" thickBot="1" x14ac:dyDescent="0.35">
      <c r="B147" s="2" t="s">
        <v>10</v>
      </c>
      <c r="C147">
        <v>0</v>
      </c>
      <c r="E147" s="9">
        <f>-(1-C145)*(1-C146)</f>
        <v>-1</v>
      </c>
      <c r="F147" s="10">
        <f>-(1+C145)*(1-C146)</f>
        <v>-1</v>
      </c>
      <c r="G147" s="10">
        <f>-(1+C145)*(1+C146)</f>
        <v>-1</v>
      </c>
      <c r="H147" s="10">
        <f>-(1-C145)*(1+C146)</f>
        <v>-1</v>
      </c>
      <c r="I147" s="10">
        <f>(1-C145)*(1-C146)</f>
        <v>1</v>
      </c>
      <c r="J147" s="10">
        <f>(1+C145)*(1-C146)</f>
        <v>1</v>
      </c>
      <c r="K147" s="10">
        <f>(1+C145)*(1+C146)</f>
        <v>1</v>
      </c>
      <c r="L147" s="11">
        <f>(1-C145)*(1+C146)</f>
        <v>1</v>
      </c>
      <c r="N147" s="9">
        <v>-2</v>
      </c>
      <c r="O147" s="10">
        <v>0</v>
      </c>
      <c r="P147" s="11">
        <v>39</v>
      </c>
      <c r="R147" s="9">
        <f t="shared" si="69"/>
        <v>-0.25</v>
      </c>
      <c r="S147" s="10">
        <f t="shared" si="69"/>
        <v>0</v>
      </c>
      <c r="T147" s="11">
        <f t="shared" si="69"/>
        <v>4.875</v>
      </c>
    </row>
    <row r="149" spans="2:32" x14ac:dyDescent="0.3">
      <c r="E149" t="s">
        <v>49</v>
      </c>
      <c r="F149" t="s">
        <v>50</v>
      </c>
      <c r="G149" t="s">
        <v>51</v>
      </c>
      <c r="H149" t="s">
        <v>52</v>
      </c>
      <c r="I149" t="s">
        <v>53</v>
      </c>
      <c r="J149" t="s">
        <v>54</v>
      </c>
      <c r="K149" t="s">
        <v>78</v>
      </c>
      <c r="L149" t="s">
        <v>79</v>
      </c>
      <c r="N149" t="s">
        <v>72</v>
      </c>
      <c r="P149" t="s">
        <v>73</v>
      </c>
      <c r="Y149" t="s">
        <v>80</v>
      </c>
    </row>
    <row r="150" spans="2:32" x14ac:dyDescent="0.3">
      <c r="E150">
        <f>(1-C145)*(1-C146)*(1-C147)/8</f>
        <v>0.125</v>
      </c>
      <c r="F150">
        <f>(1+C145)*(1-C146)*(1-C147)/8</f>
        <v>0.125</v>
      </c>
      <c r="G150">
        <f>(1+C145)*(1+C146)*(1-C147)/8</f>
        <v>0.125</v>
      </c>
      <c r="H150">
        <f>(1-C145)*(1+C146)*(1-C147)/8</f>
        <v>0.125</v>
      </c>
      <c r="I150">
        <f>(1-C145)*(1-C146)*(1+C147)/8</f>
        <v>0.125</v>
      </c>
      <c r="J150">
        <f>(1+C145)*(1-C146)*(1+C147)/8</f>
        <v>0.125</v>
      </c>
      <c r="K150">
        <f>(1+C145)*(1+C146)*(1+C147)/8</f>
        <v>0.125</v>
      </c>
      <c r="L150">
        <f>(1-C145)*(1+C146)*(1+C147)/8</f>
        <v>0.125</v>
      </c>
      <c r="N150">
        <f t="array" ref="N150:N157">TRANSPOSE(E150:L150)</f>
        <v>0.125</v>
      </c>
      <c r="P150">
        <f t="array" ref="P150:W157">MMULT(N150:N157,E150:L150)</f>
        <v>1.5625E-2</v>
      </c>
      <c r="Q150">
        <v>1.5625E-2</v>
      </c>
      <c r="R150">
        <v>1.5625E-2</v>
      </c>
      <c r="S150">
        <v>1.5625E-2</v>
      </c>
      <c r="T150">
        <v>1.5625E-2</v>
      </c>
      <c r="U150">
        <v>1.5625E-2</v>
      </c>
      <c r="V150">
        <v>1.5625E-2</v>
      </c>
      <c r="W150">
        <v>1.5625E-2</v>
      </c>
      <c r="Y150">
        <f>P150*$W$145</f>
        <v>15.898437499999998</v>
      </c>
      <c r="Z150">
        <f t="shared" ref="Z150:AF157" si="70">Q150*$W$145</f>
        <v>15.898437499999998</v>
      </c>
      <c r="AA150">
        <f t="shared" si="70"/>
        <v>15.898437499999998</v>
      </c>
      <c r="AB150">
        <f t="shared" si="70"/>
        <v>15.898437499999998</v>
      </c>
      <c r="AC150">
        <f t="shared" si="70"/>
        <v>15.898437499999998</v>
      </c>
      <c r="AD150">
        <f t="shared" si="70"/>
        <v>15.898437499999998</v>
      </c>
      <c r="AE150">
        <f t="shared" si="70"/>
        <v>15.898437499999998</v>
      </c>
      <c r="AF150">
        <f t="shared" si="70"/>
        <v>15.898437499999998</v>
      </c>
    </row>
    <row r="151" spans="2:32" x14ac:dyDescent="0.3">
      <c r="N151">
        <v>0.125</v>
      </c>
      <c r="P151">
        <v>1.5625E-2</v>
      </c>
      <c r="Q151">
        <v>1.5625E-2</v>
      </c>
      <c r="R151">
        <v>1.5625E-2</v>
      </c>
      <c r="S151">
        <v>1.5625E-2</v>
      </c>
      <c r="T151">
        <v>1.5625E-2</v>
      </c>
      <c r="U151">
        <v>1.5625E-2</v>
      </c>
      <c r="V151">
        <v>1.5625E-2</v>
      </c>
      <c r="W151">
        <v>1.5625E-2</v>
      </c>
      <c r="Y151">
        <f t="shared" ref="Y151:Y157" si="71">P151*$W$145</f>
        <v>15.898437499999998</v>
      </c>
      <c r="Z151">
        <f t="shared" si="70"/>
        <v>15.898437499999998</v>
      </c>
      <c r="AA151">
        <f t="shared" si="70"/>
        <v>15.898437499999998</v>
      </c>
      <c r="AB151">
        <f t="shared" si="70"/>
        <v>15.898437499999998</v>
      </c>
      <c r="AC151">
        <f t="shared" si="70"/>
        <v>15.898437499999998</v>
      </c>
      <c r="AD151">
        <f t="shared" si="70"/>
        <v>15.898437499999998</v>
      </c>
      <c r="AE151">
        <f t="shared" si="70"/>
        <v>15.898437499999998</v>
      </c>
      <c r="AF151">
        <f t="shared" si="70"/>
        <v>15.898437499999998</v>
      </c>
    </row>
    <row r="152" spans="2:32" x14ac:dyDescent="0.3">
      <c r="N152">
        <v>0.125</v>
      </c>
      <c r="P152">
        <v>1.5625E-2</v>
      </c>
      <c r="Q152">
        <v>1.5625E-2</v>
      </c>
      <c r="R152">
        <v>1.5625E-2</v>
      </c>
      <c r="S152">
        <v>1.5625E-2</v>
      </c>
      <c r="T152">
        <v>1.5625E-2</v>
      </c>
      <c r="U152">
        <v>1.5625E-2</v>
      </c>
      <c r="V152">
        <v>1.5625E-2</v>
      </c>
      <c r="W152">
        <v>1.5625E-2</v>
      </c>
      <c r="Y152">
        <f t="shared" si="71"/>
        <v>15.898437499999998</v>
      </c>
      <c r="Z152">
        <f t="shared" si="70"/>
        <v>15.898437499999998</v>
      </c>
      <c r="AA152">
        <f t="shared" si="70"/>
        <v>15.898437499999998</v>
      </c>
      <c r="AB152">
        <f t="shared" si="70"/>
        <v>15.898437499999998</v>
      </c>
      <c r="AC152">
        <f t="shared" si="70"/>
        <v>15.898437499999998</v>
      </c>
      <c r="AD152">
        <f t="shared" si="70"/>
        <v>15.898437499999998</v>
      </c>
      <c r="AE152">
        <f t="shared" si="70"/>
        <v>15.898437499999998</v>
      </c>
      <c r="AF152">
        <f t="shared" si="70"/>
        <v>15.898437499999998</v>
      </c>
    </row>
    <row r="153" spans="2:32" x14ac:dyDescent="0.3">
      <c r="N153">
        <v>0.125</v>
      </c>
      <c r="P153">
        <v>1.5625E-2</v>
      </c>
      <c r="Q153">
        <v>1.5625E-2</v>
      </c>
      <c r="R153">
        <v>1.5625E-2</v>
      </c>
      <c r="S153">
        <v>1.5625E-2</v>
      </c>
      <c r="T153">
        <v>1.5625E-2</v>
      </c>
      <c r="U153">
        <v>1.5625E-2</v>
      </c>
      <c r="V153">
        <v>1.5625E-2</v>
      </c>
      <c r="W153">
        <v>1.5625E-2</v>
      </c>
      <c r="Y153">
        <f>P153*$W$145</f>
        <v>15.898437499999998</v>
      </c>
      <c r="Z153">
        <f t="shared" si="70"/>
        <v>15.898437499999998</v>
      </c>
      <c r="AA153">
        <f t="shared" si="70"/>
        <v>15.898437499999998</v>
      </c>
      <c r="AB153">
        <f t="shared" si="70"/>
        <v>15.898437499999998</v>
      </c>
      <c r="AC153">
        <f t="shared" si="70"/>
        <v>15.898437499999998</v>
      </c>
      <c r="AD153">
        <f t="shared" si="70"/>
        <v>15.898437499999998</v>
      </c>
      <c r="AE153">
        <f t="shared" si="70"/>
        <v>15.898437499999998</v>
      </c>
      <c r="AF153">
        <f t="shared" si="70"/>
        <v>15.898437499999998</v>
      </c>
    </row>
    <row r="154" spans="2:32" x14ac:dyDescent="0.3">
      <c r="N154">
        <v>0.125</v>
      </c>
      <c r="P154">
        <v>1.5625E-2</v>
      </c>
      <c r="Q154">
        <v>1.5625E-2</v>
      </c>
      <c r="R154">
        <v>1.5625E-2</v>
      </c>
      <c r="S154">
        <v>1.5625E-2</v>
      </c>
      <c r="T154">
        <v>1.5625E-2</v>
      </c>
      <c r="U154">
        <v>1.5625E-2</v>
      </c>
      <c r="V154">
        <v>1.5625E-2</v>
      </c>
      <c r="W154">
        <v>1.5625E-2</v>
      </c>
      <c r="Y154">
        <f t="shared" si="71"/>
        <v>15.898437499999998</v>
      </c>
      <c r="Z154">
        <f t="shared" si="70"/>
        <v>15.898437499999998</v>
      </c>
      <c r="AA154">
        <f t="shared" si="70"/>
        <v>15.898437499999998</v>
      </c>
      <c r="AB154">
        <f t="shared" si="70"/>
        <v>15.898437499999998</v>
      </c>
      <c r="AC154">
        <f t="shared" si="70"/>
        <v>15.898437499999998</v>
      </c>
      <c r="AD154">
        <f t="shared" si="70"/>
        <v>15.898437499999998</v>
      </c>
      <c r="AE154">
        <f t="shared" si="70"/>
        <v>15.898437499999998</v>
      </c>
      <c r="AF154">
        <f t="shared" si="70"/>
        <v>15.898437499999998</v>
      </c>
    </row>
    <row r="155" spans="2:32" x14ac:dyDescent="0.3">
      <c r="N155">
        <v>0.125</v>
      </c>
      <c r="P155">
        <v>1.5625E-2</v>
      </c>
      <c r="Q155">
        <v>1.5625E-2</v>
      </c>
      <c r="R155">
        <v>1.5625E-2</v>
      </c>
      <c r="S155">
        <v>1.5625E-2</v>
      </c>
      <c r="T155">
        <v>1.5625E-2</v>
      </c>
      <c r="U155">
        <v>1.5625E-2</v>
      </c>
      <c r="V155">
        <v>1.5625E-2</v>
      </c>
      <c r="W155">
        <v>1.5625E-2</v>
      </c>
      <c r="Y155">
        <f t="shared" si="71"/>
        <v>15.898437499999998</v>
      </c>
      <c r="Z155">
        <f t="shared" si="70"/>
        <v>15.898437499999998</v>
      </c>
      <c r="AA155">
        <f t="shared" si="70"/>
        <v>15.898437499999998</v>
      </c>
      <c r="AB155">
        <f t="shared" si="70"/>
        <v>15.898437499999998</v>
      </c>
      <c r="AC155">
        <f t="shared" si="70"/>
        <v>15.898437499999998</v>
      </c>
      <c r="AD155">
        <f t="shared" si="70"/>
        <v>15.898437499999998</v>
      </c>
      <c r="AE155">
        <f t="shared" si="70"/>
        <v>15.898437499999998</v>
      </c>
      <c r="AF155">
        <f t="shared" si="70"/>
        <v>15.898437499999998</v>
      </c>
    </row>
    <row r="156" spans="2:32" x14ac:dyDescent="0.3">
      <c r="N156">
        <v>0.125</v>
      </c>
      <c r="P156">
        <v>1.5625E-2</v>
      </c>
      <c r="Q156">
        <v>1.5625E-2</v>
      </c>
      <c r="R156">
        <v>1.5625E-2</v>
      </c>
      <c r="S156">
        <v>1.5625E-2</v>
      </c>
      <c r="T156">
        <v>1.5625E-2</v>
      </c>
      <c r="U156">
        <v>1.5625E-2</v>
      </c>
      <c r="V156">
        <v>1.5625E-2</v>
      </c>
      <c r="W156">
        <v>1.5625E-2</v>
      </c>
      <c r="Y156">
        <f t="shared" si="71"/>
        <v>15.898437499999998</v>
      </c>
      <c r="Z156">
        <f t="shared" si="70"/>
        <v>15.898437499999998</v>
      </c>
      <c r="AA156">
        <f t="shared" si="70"/>
        <v>15.898437499999998</v>
      </c>
      <c r="AB156">
        <f t="shared" si="70"/>
        <v>15.898437499999998</v>
      </c>
      <c r="AC156">
        <f t="shared" si="70"/>
        <v>15.898437499999998</v>
      </c>
      <c r="AD156">
        <f t="shared" si="70"/>
        <v>15.898437499999998</v>
      </c>
      <c r="AE156">
        <f t="shared" si="70"/>
        <v>15.898437499999998</v>
      </c>
      <c r="AF156">
        <f t="shared" si="70"/>
        <v>15.898437499999998</v>
      </c>
    </row>
    <row r="157" spans="2:32" x14ac:dyDescent="0.3">
      <c r="N157">
        <v>0.125</v>
      </c>
      <c r="P157">
        <v>1.5625E-2</v>
      </c>
      <c r="Q157">
        <v>1.5625E-2</v>
      </c>
      <c r="R157">
        <v>1.5625E-2</v>
      </c>
      <c r="S157">
        <v>1.5625E-2</v>
      </c>
      <c r="T157">
        <v>1.5625E-2</v>
      </c>
      <c r="U157">
        <v>1.5625E-2</v>
      </c>
      <c r="V157">
        <v>1.5625E-2</v>
      </c>
      <c r="W157">
        <v>1.5625E-2</v>
      </c>
      <c r="Y157">
        <f t="shared" si="71"/>
        <v>15.898437499999998</v>
      </c>
      <c r="Z157">
        <f t="shared" si="70"/>
        <v>15.898437499999998</v>
      </c>
      <c r="AA157">
        <f t="shared" si="70"/>
        <v>15.898437499999998</v>
      </c>
      <c r="AB157">
        <f t="shared" si="70"/>
        <v>15.898437499999998</v>
      </c>
      <c r="AC157">
        <f t="shared" si="70"/>
        <v>15.898437499999998</v>
      </c>
      <c r="AD157">
        <f t="shared" si="70"/>
        <v>15.898437499999998</v>
      </c>
      <c r="AE157">
        <f t="shared" si="70"/>
        <v>15.898437499999998</v>
      </c>
      <c r="AF157">
        <f>W157*$W$145</f>
        <v>15.898437499999998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79"/>
  <sheetViews>
    <sheetView topLeftCell="A58" workbookViewId="0">
      <selection activeCell="I82" sqref="I82"/>
    </sheetView>
  </sheetViews>
  <sheetFormatPr defaultColWidth="9.109375" defaultRowHeight="14.4" x14ac:dyDescent="0.3"/>
  <cols>
    <col min="1" max="1" width="9.33203125" style="13" bestFit="1" customWidth="1"/>
    <col min="2" max="2" width="12.33203125" style="13" bestFit="1" customWidth="1"/>
    <col min="3" max="3" width="9.109375" style="13"/>
    <col min="4" max="9" width="9.33203125" style="13" bestFit="1" customWidth="1"/>
    <col min="10" max="10" width="9.109375" style="13"/>
    <col min="11" max="13" width="10.33203125" style="13" bestFit="1" customWidth="1"/>
    <col min="14" max="14" width="9.33203125" style="13" bestFit="1" customWidth="1"/>
    <col min="15" max="15" width="10.33203125" style="13" bestFit="1" customWidth="1"/>
    <col min="16" max="16" width="9.33203125" style="13" bestFit="1" customWidth="1"/>
    <col min="17" max="17" width="10.33203125" style="13" bestFit="1" customWidth="1"/>
    <col min="18" max="18" width="9.33203125" style="13" bestFit="1" customWidth="1"/>
    <col min="19" max="19" width="9.109375" style="13"/>
    <col min="20" max="25" width="9.33203125" style="13" bestFit="1" customWidth="1"/>
    <col min="26" max="16384" width="9.109375" style="13"/>
  </cols>
  <sheetData>
    <row r="2" spans="1:6" x14ac:dyDescent="0.3">
      <c r="B2" s="13" t="s">
        <v>83</v>
      </c>
      <c r="F2" s="13" t="s">
        <v>86</v>
      </c>
    </row>
    <row r="3" spans="1:6" x14ac:dyDescent="0.3">
      <c r="B3" s="13" t="s">
        <v>0</v>
      </c>
    </row>
    <row r="4" spans="1:6" x14ac:dyDescent="0.3">
      <c r="A4" s="15">
        <v>1</v>
      </c>
      <c r="B4" s="13">
        <f>1/2</f>
        <v>0.5</v>
      </c>
    </row>
    <row r="5" spans="1:6" x14ac:dyDescent="0.3">
      <c r="A5" s="15">
        <v>2</v>
      </c>
      <c r="B5" s="13">
        <v>1</v>
      </c>
    </row>
    <row r="6" spans="1:6" x14ac:dyDescent="0.3">
      <c r="A6" s="15">
        <v>3</v>
      </c>
      <c r="B6" s="13">
        <f>3/2</f>
        <v>1.5</v>
      </c>
    </row>
    <row r="15" spans="1:6" x14ac:dyDescent="0.3">
      <c r="B15" s="13" t="s">
        <v>85</v>
      </c>
    </row>
    <row r="17" spans="1:27" x14ac:dyDescent="0.3">
      <c r="A17" s="13" t="s">
        <v>33</v>
      </c>
      <c r="B17" s="13" t="s">
        <v>28</v>
      </c>
      <c r="D17" s="13" t="s">
        <v>87</v>
      </c>
      <c r="I17" s="13" t="s">
        <v>41</v>
      </c>
      <c r="K17" s="13" t="s">
        <v>70</v>
      </c>
      <c r="M17" s="13" t="s">
        <v>71</v>
      </c>
    </row>
    <row r="18" spans="1:27" x14ac:dyDescent="0.3">
      <c r="A18" s="14" t="s">
        <v>8</v>
      </c>
      <c r="B18" s="13">
        <f>-0.774597</f>
        <v>-0.77459699999999998</v>
      </c>
      <c r="D18" s="13">
        <f>-0.5+B18</f>
        <v>-1.274597</v>
      </c>
      <c r="E18">
        <f>-2*B18</f>
        <v>1.549194</v>
      </c>
      <c r="F18" s="13">
        <f>0.5+B18</f>
        <v>-0.27459699999999998</v>
      </c>
      <c r="G18"/>
      <c r="H18"/>
      <c r="I18">
        <f>MMULT(D18:F18,$B$4:$B$6)</f>
        <v>0.5</v>
      </c>
      <c r="J18"/>
      <c r="K18">
        <f>MDETERM(I18)</f>
        <v>0.5</v>
      </c>
      <c r="L18"/>
      <c r="M18">
        <f>K18*5/9</f>
        <v>0.27777777777777779</v>
      </c>
      <c r="O18"/>
      <c r="P18"/>
      <c r="Q18"/>
    </row>
    <row r="19" spans="1:27" x14ac:dyDescent="0.3">
      <c r="A19" s="14"/>
      <c r="D19"/>
      <c r="E19"/>
      <c r="F19"/>
      <c r="G19"/>
      <c r="H19"/>
      <c r="I19"/>
      <c r="J19"/>
      <c r="K19"/>
      <c r="L19"/>
      <c r="M19"/>
    </row>
    <row r="20" spans="1:27" x14ac:dyDescent="0.3">
      <c r="A20" s="14"/>
      <c r="D20" s="13" t="s">
        <v>49</v>
      </c>
      <c r="E20" s="13" t="s">
        <v>50</v>
      </c>
      <c r="F20" s="13" t="s">
        <v>51</v>
      </c>
      <c r="H20" s="13" t="s">
        <v>72</v>
      </c>
      <c r="J20" s="13" t="s">
        <v>73</v>
      </c>
      <c r="N20" s="13" t="s">
        <v>74</v>
      </c>
    </row>
    <row r="21" spans="1:27" x14ac:dyDescent="0.3">
      <c r="D21" s="13">
        <f>-B18*(1-B18)/2</f>
        <v>0.68729875620449998</v>
      </c>
      <c r="E21" s="13">
        <f>(1-B18)*(1+B18)</f>
        <v>0.39999948759100001</v>
      </c>
      <c r="F21" s="13">
        <f>B18*(1+B18)/2</f>
        <v>-8.7298243795500011E-2</v>
      </c>
      <c r="H21" s="13">
        <f t="array" ref="H21:H23">TRANSPOSE(D21:F21)</f>
        <v>0.68729875620449998</v>
      </c>
      <c r="J21" s="13">
        <f t="array" ref="J21:L23">MMULT(H21:H23,D21:F21)</f>
        <v>0.47237958028025273</v>
      </c>
      <c r="K21" s="13">
        <v>0.27491915030373165</v>
      </c>
      <c r="L21" s="13">
        <v>-5.9999974379484365E-2</v>
      </c>
      <c r="N21" s="13">
        <f>J21*$M$18</f>
        <v>0.13121655007784799</v>
      </c>
      <c r="O21" s="13">
        <f t="shared" ref="O21:P23" si="0">K21*$M$18</f>
        <v>7.6366430639925459E-2</v>
      </c>
      <c r="P21" s="13">
        <f t="shared" si="0"/>
        <v>-1.6666659549856768E-2</v>
      </c>
    </row>
    <row r="22" spans="1:27" x14ac:dyDescent="0.3">
      <c r="H22" s="13">
        <v>0.39999948759100001</v>
      </c>
      <c r="J22" s="13">
        <v>0.27491915030373165</v>
      </c>
      <c r="K22" s="13">
        <v>0.15999959007306258</v>
      </c>
      <c r="L22" s="13">
        <v>-3.4919252785794198E-2</v>
      </c>
      <c r="N22" s="13">
        <f>J22*$M$18</f>
        <v>7.6366430639925459E-2</v>
      </c>
      <c r="O22" s="13">
        <f>K22*$M$18</f>
        <v>4.4444330575850718E-2</v>
      </c>
      <c r="P22" s="13">
        <f t="shared" si="0"/>
        <v>-9.6997924404983882E-3</v>
      </c>
      <c r="S22" t="s">
        <v>7</v>
      </c>
      <c r="T22"/>
      <c r="U22"/>
      <c r="V22"/>
      <c r="W22"/>
      <c r="X22"/>
      <c r="Y22"/>
      <c r="Z22"/>
      <c r="AA22"/>
    </row>
    <row r="23" spans="1:27" x14ac:dyDescent="0.3">
      <c r="D23" s="13">
        <f>SUM(D21:F21)</f>
        <v>0.99999999999999989</v>
      </c>
      <c r="H23" s="13">
        <v>-8.7298243795500011E-2</v>
      </c>
      <c r="J23" s="13">
        <v>-5.9999974379484365E-2</v>
      </c>
      <c r="K23" s="13">
        <v>-3.4919252785794198E-2</v>
      </c>
      <c r="L23" s="13">
        <v>7.6209833697785563E-3</v>
      </c>
      <c r="N23" s="13">
        <f>J23*$M$18</f>
        <v>-1.6666659549856768E-2</v>
      </c>
      <c r="O23" s="13">
        <f t="shared" si="0"/>
        <v>-9.6997924404983882E-3</v>
      </c>
      <c r="P23" s="13">
        <f t="shared" si="0"/>
        <v>2.1169398249384882E-3</v>
      </c>
      <c r="S23"/>
      <c r="T23"/>
      <c r="U23"/>
      <c r="V23"/>
      <c r="W23"/>
      <c r="X23"/>
      <c r="Y23"/>
      <c r="Z23"/>
      <c r="AA23"/>
    </row>
    <row r="24" spans="1:27" x14ac:dyDescent="0.3">
      <c r="S24"/>
      <c r="T24"/>
      <c r="U24"/>
      <c r="V24"/>
      <c r="W24"/>
      <c r="X24"/>
      <c r="Y24"/>
      <c r="Z24"/>
      <c r="AA24"/>
    </row>
    <row r="25" spans="1:27" x14ac:dyDescent="0.3">
      <c r="A25" s="13" t="s">
        <v>33</v>
      </c>
      <c r="B25" s="13" t="s">
        <v>28</v>
      </c>
      <c r="D25" s="13" t="s">
        <v>87</v>
      </c>
      <c r="I25" s="13" t="s">
        <v>41</v>
      </c>
      <c r="K25" s="13" t="s">
        <v>70</v>
      </c>
      <c r="M25" s="13" t="s">
        <v>71</v>
      </c>
    </row>
    <row r="26" spans="1:27" x14ac:dyDescent="0.3">
      <c r="A26" s="14" t="s">
        <v>8</v>
      </c>
      <c r="B26" s="13">
        <v>0</v>
      </c>
      <c r="D26" s="13">
        <f>-0.5+B26</f>
        <v>-0.5</v>
      </c>
      <c r="E26">
        <f>-2*B26</f>
        <v>0</v>
      </c>
      <c r="F26" s="13">
        <f>0.5+B26</f>
        <v>0.5</v>
      </c>
      <c r="G26"/>
      <c r="H26"/>
      <c r="I26">
        <f t="array" ref="I26">MMULT(D26:F26,$B$4:$B$6)</f>
        <v>0.5</v>
      </c>
      <c r="J26"/>
      <c r="K26">
        <f>MDETERM(I26)</f>
        <v>0.5</v>
      </c>
      <c r="L26"/>
      <c r="M26">
        <f>K26*8/9</f>
        <v>0.44444444444444442</v>
      </c>
      <c r="O26"/>
      <c r="P26"/>
    </row>
    <row r="27" spans="1:27" x14ac:dyDescent="0.3">
      <c r="A27" s="14"/>
      <c r="D27"/>
      <c r="E27"/>
      <c r="F27"/>
      <c r="G27"/>
      <c r="H27"/>
      <c r="I27"/>
      <c r="J27"/>
      <c r="K27"/>
      <c r="L27"/>
      <c r="M27"/>
    </row>
    <row r="28" spans="1:27" x14ac:dyDescent="0.3">
      <c r="A28" s="14"/>
      <c r="D28" s="13" t="s">
        <v>49</v>
      </c>
      <c r="E28" s="13" t="s">
        <v>50</v>
      </c>
      <c r="F28" s="13" t="s">
        <v>51</v>
      </c>
      <c r="H28" s="13" t="s">
        <v>72</v>
      </c>
      <c r="J28" s="13" t="s">
        <v>73</v>
      </c>
      <c r="N28" s="13" t="s">
        <v>74</v>
      </c>
    </row>
    <row r="29" spans="1:27" x14ac:dyDescent="0.3">
      <c r="D29" s="13">
        <f>-B26*(1-B26)/2</f>
        <v>0</v>
      </c>
      <c r="E29" s="13">
        <f>(1-B26)*(1+B26)</f>
        <v>1</v>
      </c>
      <c r="F29" s="13">
        <f>B26*(1+B26)/2</f>
        <v>0</v>
      </c>
      <c r="H29" s="13">
        <f t="array" ref="H29:H31">TRANSPOSE(D29:F29)</f>
        <v>0</v>
      </c>
      <c r="J29" s="13">
        <f t="array" ref="J29:L31">MMULT(H29:H31,D29:F29)</f>
        <v>0</v>
      </c>
      <c r="K29" s="13">
        <v>0</v>
      </c>
      <c r="L29" s="13">
        <v>0</v>
      </c>
      <c r="N29" s="13">
        <f>J29*$M$26</f>
        <v>0</v>
      </c>
      <c r="O29" s="13">
        <f t="shared" ref="O29:P31" si="1">K29*$M$26</f>
        <v>0</v>
      </c>
      <c r="P29" s="13">
        <f t="shared" si="1"/>
        <v>0</v>
      </c>
    </row>
    <row r="30" spans="1:27" x14ac:dyDescent="0.3">
      <c r="H30" s="13">
        <v>1</v>
      </c>
      <c r="J30" s="13">
        <v>0</v>
      </c>
      <c r="K30" s="13">
        <v>1</v>
      </c>
      <c r="L30" s="13">
        <v>0</v>
      </c>
      <c r="N30" s="13">
        <f>J30*$M$26</f>
        <v>0</v>
      </c>
      <c r="O30" s="13">
        <f t="shared" si="1"/>
        <v>0.44444444444444442</v>
      </c>
      <c r="P30" s="13">
        <f t="shared" si="1"/>
        <v>0</v>
      </c>
    </row>
    <row r="31" spans="1:27" x14ac:dyDescent="0.3">
      <c r="H31" s="13">
        <v>0</v>
      </c>
      <c r="J31" s="13">
        <v>0</v>
      </c>
      <c r="K31" s="13">
        <v>0</v>
      </c>
      <c r="L31" s="13">
        <v>0</v>
      </c>
      <c r="N31" s="13">
        <f>J31*$M$26</f>
        <v>0</v>
      </c>
      <c r="O31" s="13">
        <f t="shared" si="1"/>
        <v>0</v>
      </c>
      <c r="P31" s="13">
        <f t="shared" si="1"/>
        <v>0</v>
      </c>
    </row>
    <row r="33" spans="1:16" x14ac:dyDescent="0.3">
      <c r="A33" s="13" t="s">
        <v>33</v>
      </c>
      <c r="B33" s="13" t="s">
        <v>28</v>
      </c>
      <c r="D33" s="13" t="s">
        <v>87</v>
      </c>
      <c r="I33" s="13" t="s">
        <v>41</v>
      </c>
      <c r="K33" s="13" t="s">
        <v>70</v>
      </c>
      <c r="M33" s="13" t="s">
        <v>71</v>
      </c>
    </row>
    <row r="34" spans="1:16" x14ac:dyDescent="0.3">
      <c r="A34" s="14" t="s">
        <v>8</v>
      </c>
      <c r="B34" s="13">
        <f>0.774597</f>
        <v>0.77459699999999998</v>
      </c>
      <c r="D34" s="13">
        <f>-0.5+B34</f>
        <v>0.27459699999999998</v>
      </c>
      <c r="E34">
        <f>-2*B34</f>
        <v>-1.549194</v>
      </c>
      <c r="F34" s="13">
        <f>0.5+B34</f>
        <v>1.274597</v>
      </c>
      <c r="G34"/>
      <c r="H34"/>
      <c r="I34">
        <f>MMULT(D34:F34,$B$4:$B$6)</f>
        <v>0.5</v>
      </c>
      <c r="J34"/>
      <c r="K34">
        <f>MDETERM(I34)</f>
        <v>0.5</v>
      </c>
      <c r="L34"/>
      <c r="M34">
        <f>K34*5/9</f>
        <v>0.27777777777777779</v>
      </c>
      <c r="O34"/>
      <c r="P34"/>
    </row>
    <row r="35" spans="1:16" x14ac:dyDescent="0.3">
      <c r="A35" s="14"/>
      <c r="D35"/>
      <c r="E35"/>
      <c r="F35"/>
      <c r="G35"/>
      <c r="H35"/>
      <c r="I35"/>
      <c r="J35"/>
      <c r="K35"/>
      <c r="L35"/>
      <c r="M35"/>
    </row>
    <row r="36" spans="1:16" x14ac:dyDescent="0.3">
      <c r="A36" s="14"/>
      <c r="D36" s="13" t="s">
        <v>49</v>
      </c>
      <c r="E36" s="13" t="s">
        <v>50</v>
      </c>
      <c r="F36" s="13" t="s">
        <v>51</v>
      </c>
      <c r="H36" s="13" t="s">
        <v>72</v>
      </c>
      <c r="J36" s="13" t="s">
        <v>73</v>
      </c>
      <c r="N36" s="13" t="s">
        <v>74</v>
      </c>
    </row>
    <row r="37" spans="1:16" x14ac:dyDescent="0.3">
      <c r="D37" s="13">
        <f>-B34*(1-B34)/2</f>
        <v>-8.7298243795500011E-2</v>
      </c>
      <c r="E37" s="13">
        <f>(1-B34)*(1+B34)</f>
        <v>0.39999948759100001</v>
      </c>
      <c r="F37" s="13">
        <f>B34*(1+B34)/2</f>
        <v>0.68729875620449998</v>
      </c>
      <c r="H37" s="13">
        <f t="array" ref="H37:H39">TRANSPOSE(D37:F37)</f>
        <v>-8.7298243795500011E-2</v>
      </c>
      <c r="J37" s="13">
        <f t="array" ref="J37:L39">MMULT(H37:H39,D37:F37)</f>
        <v>7.6209833697785563E-3</v>
      </c>
      <c r="K37" s="13">
        <v>-3.4919252785794198E-2</v>
      </c>
      <c r="L37" s="13">
        <v>-5.9999974379484365E-2</v>
      </c>
      <c r="N37" s="13">
        <f t="shared" ref="N37:P39" si="2">J37*$M$18</f>
        <v>2.1169398249384882E-3</v>
      </c>
      <c r="O37" s="13">
        <f t="shared" si="2"/>
        <v>-9.6997924404983882E-3</v>
      </c>
      <c r="P37" s="13">
        <f t="shared" si="2"/>
        <v>-1.6666659549856768E-2</v>
      </c>
    </row>
    <row r="38" spans="1:16" x14ac:dyDescent="0.3">
      <c r="H38" s="13">
        <v>0.39999948759100001</v>
      </c>
      <c r="J38" s="13">
        <v>-3.4919252785794198E-2</v>
      </c>
      <c r="K38" s="13">
        <v>0.15999959007306258</v>
      </c>
      <c r="L38" s="13">
        <v>0.27491915030373165</v>
      </c>
      <c r="N38" s="13">
        <f t="shared" si="2"/>
        <v>-9.6997924404983882E-3</v>
      </c>
      <c r="O38" s="13">
        <f t="shared" si="2"/>
        <v>4.4444330575850718E-2</v>
      </c>
      <c r="P38" s="13">
        <f t="shared" si="2"/>
        <v>7.6366430639925459E-2</v>
      </c>
    </row>
    <row r="39" spans="1:16" x14ac:dyDescent="0.3">
      <c r="D39" s="13">
        <f>SUM(D37:F37)</f>
        <v>1</v>
      </c>
      <c r="H39" s="13">
        <v>0.68729875620449998</v>
      </c>
      <c r="J39" s="13">
        <v>-5.9999974379484365E-2</v>
      </c>
      <c r="K39" s="13">
        <v>0.27491915030373165</v>
      </c>
      <c r="L39" s="13">
        <v>0.47237958028025273</v>
      </c>
      <c r="N39" s="13">
        <f t="shared" si="2"/>
        <v>-1.6666659549856768E-2</v>
      </c>
      <c r="O39" s="13">
        <f t="shared" si="2"/>
        <v>7.6366430639925459E-2</v>
      </c>
      <c r="P39" s="13">
        <f t="shared" si="2"/>
        <v>0.13121655007784799</v>
      </c>
    </row>
    <row r="41" spans="1:16" x14ac:dyDescent="0.3">
      <c r="M41" s="13" t="s">
        <v>68</v>
      </c>
      <c r="N41" s="64">
        <f>N21+N29+N37</f>
        <v>0.13333348990278648</v>
      </c>
      <c r="O41" s="64">
        <f>O21+O29+O37</f>
        <v>6.6666638199427072E-2</v>
      </c>
      <c r="P41" s="64">
        <f>P21+P29+P37</f>
        <v>-3.3333319099713536E-2</v>
      </c>
    </row>
    <row r="42" spans="1:16" x14ac:dyDescent="0.3">
      <c r="N42" s="64">
        <f t="shared" ref="N42:P43" si="3">N22+N30+N38</f>
        <v>6.6666638199427072E-2</v>
      </c>
      <c r="O42" s="64">
        <f t="shared" si="3"/>
        <v>0.53333310559614588</v>
      </c>
      <c r="P42" s="64">
        <f t="shared" si="3"/>
        <v>6.6666638199427072E-2</v>
      </c>
    </row>
    <row r="43" spans="1:16" x14ac:dyDescent="0.3">
      <c r="N43" s="64">
        <f>N23+N31+N39</f>
        <v>-3.3333319099713536E-2</v>
      </c>
      <c r="O43" s="64">
        <f t="shared" si="3"/>
        <v>6.6666638199427072E-2</v>
      </c>
      <c r="P43" s="64">
        <f t="shared" si="3"/>
        <v>0.13333348990278648</v>
      </c>
    </row>
    <row r="45" spans="1:16" x14ac:dyDescent="0.3">
      <c r="B45" s="13" t="s">
        <v>84</v>
      </c>
      <c r="N45" s="33">
        <f>SUM(N41:N43)</f>
        <v>0.16666680900250003</v>
      </c>
      <c r="O45" s="33">
        <f>SUM(O41:O43)</f>
        <v>0.66666638199500006</v>
      </c>
    </row>
    <row r="47" spans="1:16" x14ac:dyDescent="0.3">
      <c r="A47" s="13" t="s">
        <v>33</v>
      </c>
      <c r="B47" s="13" t="s">
        <v>28</v>
      </c>
      <c r="D47" s="13" t="s">
        <v>87</v>
      </c>
      <c r="I47" s="13" t="s">
        <v>41</v>
      </c>
      <c r="K47" s="13" t="s">
        <v>70</v>
      </c>
      <c r="M47" s="13" t="s">
        <v>71</v>
      </c>
    </row>
    <row r="48" spans="1:16" x14ac:dyDescent="0.3">
      <c r="A48" s="14" t="s">
        <v>8</v>
      </c>
      <c r="B48" s="13">
        <v>0.57735000000000003</v>
      </c>
      <c r="D48" s="13">
        <f>-0.5+B48</f>
        <v>7.735000000000003E-2</v>
      </c>
      <c r="E48">
        <f>-2*B48</f>
        <v>-1.1547000000000001</v>
      </c>
      <c r="F48" s="13">
        <f>0.5+B48</f>
        <v>1.07735</v>
      </c>
      <c r="G48"/>
      <c r="H48"/>
      <c r="I48">
        <f>MMULT(D48:F48,$B$4:$B$6)</f>
        <v>0.5</v>
      </c>
      <c r="J48"/>
      <c r="K48">
        <f>MDETERM(I48)</f>
        <v>0.5</v>
      </c>
      <c r="L48"/>
      <c r="M48">
        <f>K48*1</f>
        <v>0.5</v>
      </c>
      <c r="O48"/>
      <c r="P48"/>
    </row>
    <row r="49" spans="1:24" x14ac:dyDescent="0.3">
      <c r="A49" s="14"/>
      <c r="D49"/>
      <c r="E49"/>
      <c r="F49"/>
      <c r="G49"/>
      <c r="H49"/>
      <c r="I49"/>
      <c r="J49"/>
      <c r="K49"/>
      <c r="L49"/>
      <c r="M49"/>
    </row>
    <row r="50" spans="1:24" x14ac:dyDescent="0.3">
      <c r="A50" s="14"/>
      <c r="D50" s="13" t="s">
        <v>49</v>
      </c>
      <c r="E50" s="13" t="s">
        <v>50</v>
      </c>
      <c r="F50" s="13" t="s">
        <v>51</v>
      </c>
      <c r="H50" s="13" t="s">
        <v>72</v>
      </c>
      <c r="J50" s="13" t="s">
        <v>73</v>
      </c>
      <c r="N50" s="13" t="s">
        <v>74</v>
      </c>
    </row>
    <row r="51" spans="1:24" x14ac:dyDescent="0.3">
      <c r="D51" s="13">
        <f>-B48*(1-B48)/2</f>
        <v>-0.12200848874999999</v>
      </c>
      <c r="E51" s="13">
        <f>(1-B48)*(1+B48)</f>
        <v>0.66666697749999992</v>
      </c>
      <c r="F51" s="13">
        <f>B48*(1+B48)/2</f>
        <v>0.45534151125000005</v>
      </c>
      <c r="H51" s="13">
        <f t="array" ref="H51:H53">TRANSPOSE(D51:F51)</f>
        <v>-0.12200848874999999</v>
      </c>
      <c r="J51" s="13">
        <f t="array" ref="J51:L53">MMULT(H51:H53,D51:F51)</f>
        <v>1.4886071327058874E-2</v>
      </c>
      <c r="K51" s="13">
        <v>-8.1339030424305236E-2</v>
      </c>
      <c r="L51" s="13">
        <v>-5.5555529652753628E-2</v>
      </c>
      <c r="N51" s="13">
        <f>J51*$M$48</f>
        <v>7.4430356635294369E-3</v>
      </c>
      <c r="O51" s="13">
        <f t="shared" ref="O51:P53" si="4">K51*$M$48</f>
        <v>-4.0669515212152618E-2</v>
      </c>
      <c r="P51" s="13">
        <f t="shared" si="4"/>
        <v>-2.7777764826376814E-2</v>
      </c>
    </row>
    <row r="52" spans="1:24" x14ac:dyDescent="0.3">
      <c r="H52" s="13">
        <v>0.66666697749999992</v>
      </c>
      <c r="J52" s="13">
        <v>-8.1339030424305236E-2</v>
      </c>
      <c r="K52" s="13">
        <v>0.44444485888898538</v>
      </c>
      <c r="L52" s="13">
        <v>0.30356114903531972</v>
      </c>
      <c r="N52" s="13">
        <f>J52*$M$48</f>
        <v>-4.0669515212152618E-2</v>
      </c>
      <c r="O52" s="13">
        <f t="shared" si="4"/>
        <v>0.22222242944449269</v>
      </c>
      <c r="P52" s="13">
        <f t="shared" si="4"/>
        <v>0.15178057451765986</v>
      </c>
    </row>
    <row r="53" spans="1:24" x14ac:dyDescent="0.3">
      <c r="D53" s="13">
        <f>SUM(D51:F51)</f>
        <v>1</v>
      </c>
      <c r="H53" s="13">
        <v>0.45534151125000005</v>
      </c>
      <c r="J53" s="13">
        <v>-5.5555529652753628E-2</v>
      </c>
      <c r="K53" s="13">
        <v>0.30356114903531972</v>
      </c>
      <c r="L53" s="13">
        <v>0.20733589186743392</v>
      </c>
      <c r="N53" s="13">
        <f>J53*$M$48</f>
        <v>-2.7777764826376814E-2</v>
      </c>
      <c r="O53" s="13">
        <f t="shared" si="4"/>
        <v>0.15178057451765986</v>
      </c>
      <c r="P53" s="13">
        <f t="shared" si="4"/>
        <v>0.10366794593371696</v>
      </c>
    </row>
    <row r="55" spans="1:24" x14ac:dyDescent="0.3">
      <c r="A55" s="13" t="s">
        <v>33</v>
      </c>
      <c r="B55" s="13" t="s">
        <v>28</v>
      </c>
      <c r="D55" s="13" t="s">
        <v>87</v>
      </c>
      <c r="I55" s="13" t="s">
        <v>41</v>
      </c>
      <c r="K55" s="13" t="s">
        <v>70</v>
      </c>
      <c r="M55" s="13" t="s">
        <v>71</v>
      </c>
    </row>
    <row r="56" spans="1:24" x14ac:dyDescent="0.3">
      <c r="A56" s="14" t="s">
        <v>8</v>
      </c>
      <c r="B56" s="13">
        <v>-0.57735000000000003</v>
      </c>
      <c r="D56" s="13">
        <f>-0.5+B56</f>
        <v>-1.07735</v>
      </c>
      <c r="E56">
        <f>-2*B56</f>
        <v>1.1547000000000001</v>
      </c>
      <c r="F56" s="13">
        <f>0.5+B56</f>
        <v>-7.735000000000003E-2</v>
      </c>
      <c r="G56"/>
      <c r="H56"/>
      <c r="I56">
        <f>MMULT(D56:F56,$B$4:$B$6)</f>
        <v>0.5</v>
      </c>
      <c r="J56"/>
      <c r="K56">
        <f>MDETERM(I56)</f>
        <v>0.5</v>
      </c>
      <c r="L56"/>
      <c r="M56">
        <f>K56*1</f>
        <v>0.5</v>
      </c>
      <c r="O56"/>
      <c r="P56"/>
    </row>
    <row r="57" spans="1:24" x14ac:dyDescent="0.3">
      <c r="A57" s="14"/>
      <c r="D57"/>
      <c r="E57"/>
      <c r="F57"/>
      <c r="G57"/>
      <c r="H57"/>
      <c r="I57"/>
      <c r="J57"/>
      <c r="K57"/>
      <c r="L57"/>
      <c r="M57"/>
    </row>
    <row r="58" spans="1:24" x14ac:dyDescent="0.3">
      <c r="A58" s="14"/>
      <c r="D58" s="13" t="s">
        <v>49</v>
      </c>
      <c r="E58" s="13" t="s">
        <v>50</v>
      </c>
      <c r="F58" s="13" t="s">
        <v>51</v>
      </c>
      <c r="H58" s="13" t="s">
        <v>72</v>
      </c>
      <c r="J58" s="13" t="s">
        <v>73</v>
      </c>
      <c r="N58" s="13" t="s">
        <v>74</v>
      </c>
    </row>
    <row r="59" spans="1:24" x14ac:dyDescent="0.3">
      <c r="D59" s="13">
        <f>-B56*(1-B56)/2</f>
        <v>0.45534151125000005</v>
      </c>
      <c r="E59" s="13">
        <f>(1-B56)*(1+B56)</f>
        <v>0.66666697749999992</v>
      </c>
      <c r="F59" s="13">
        <f>B56*(1+B56)/2</f>
        <v>-0.12200848874999999</v>
      </c>
      <c r="H59" s="13">
        <f t="array" ref="H59:H61">TRANSPOSE(D59:F59)</f>
        <v>0.45534151125000005</v>
      </c>
      <c r="J59" s="13">
        <f t="array" ref="J59:L61">MMULT(H59:H61,D59:F59)</f>
        <v>0.20733589186743392</v>
      </c>
      <c r="K59" s="13">
        <v>0.30356114903531972</v>
      </c>
      <c r="L59" s="13">
        <v>-5.5555529652753628E-2</v>
      </c>
      <c r="N59" s="13">
        <f>J59*$M$56</f>
        <v>0.10366794593371696</v>
      </c>
      <c r="O59" s="13">
        <f t="shared" ref="O59:P61" si="5">K59*$M$56</f>
        <v>0.15178057451765986</v>
      </c>
      <c r="P59" s="13">
        <f t="shared" si="5"/>
        <v>-2.7777764826376814E-2</v>
      </c>
    </row>
    <row r="60" spans="1:24" x14ac:dyDescent="0.3">
      <c r="H60" s="13">
        <v>0.66666697749999992</v>
      </c>
      <c r="J60" s="13">
        <v>0.30356114903531972</v>
      </c>
      <c r="K60" s="13">
        <v>0.44444485888898538</v>
      </c>
      <c r="L60" s="13">
        <v>-8.1339030424305236E-2</v>
      </c>
      <c r="N60" s="13">
        <f>J60*$M$56</f>
        <v>0.15178057451765986</v>
      </c>
      <c r="O60" s="13">
        <f t="shared" si="5"/>
        <v>0.22222242944449269</v>
      </c>
      <c r="P60" s="13">
        <f t="shared" si="5"/>
        <v>-4.0669515212152618E-2</v>
      </c>
    </row>
    <row r="61" spans="1:24" x14ac:dyDescent="0.3">
      <c r="D61" s="13">
        <f>SUM(D59:F59)</f>
        <v>0.99999999999999989</v>
      </c>
      <c r="H61" s="13">
        <v>-0.12200848874999999</v>
      </c>
      <c r="J61" s="13">
        <v>-5.5555529652753628E-2</v>
      </c>
      <c r="K61" s="13">
        <v>-8.1339030424305236E-2</v>
      </c>
      <c r="L61" s="13">
        <v>1.4886071327058874E-2</v>
      </c>
      <c r="N61" s="13">
        <f>J61*$M$56</f>
        <v>-2.7777764826376814E-2</v>
      </c>
      <c r="O61" s="13">
        <f t="shared" si="5"/>
        <v>-4.0669515212152618E-2</v>
      </c>
      <c r="P61" s="13">
        <f t="shared" si="5"/>
        <v>7.4430356635294369E-3</v>
      </c>
    </row>
    <row r="62" spans="1:24" x14ac:dyDescent="0.3">
      <c r="R62"/>
      <c r="S62"/>
      <c r="T62"/>
      <c r="U62"/>
      <c r="V62"/>
      <c r="W62"/>
      <c r="X62"/>
    </row>
    <row r="63" spans="1:24" x14ac:dyDescent="0.3">
      <c r="M63" s="13" t="s">
        <v>68</v>
      </c>
      <c r="N63" s="64">
        <f>N51+N59</f>
        <v>0.1111109815972464</v>
      </c>
      <c r="O63" s="64">
        <f>O51+O59</f>
        <v>0.11111105930550724</v>
      </c>
      <c r="P63" s="64">
        <f>P51+P59</f>
        <v>-5.5555529652753628E-2</v>
      </c>
      <c r="R63"/>
      <c r="S63"/>
      <c r="T63"/>
      <c r="U63"/>
      <c r="V63"/>
      <c r="W63"/>
      <c r="X63"/>
    </row>
    <row r="64" spans="1:24" x14ac:dyDescent="0.3">
      <c r="N64" s="64">
        <f t="shared" ref="N64:P65" si="6">N52+N60</f>
        <v>0.11111105930550724</v>
      </c>
      <c r="O64" s="64">
        <f t="shared" si="6"/>
        <v>0.44444485888898538</v>
      </c>
      <c r="P64" s="64">
        <f t="shared" si="6"/>
        <v>0.11111105930550724</v>
      </c>
      <c r="R64"/>
      <c r="S64"/>
      <c r="T64"/>
      <c r="U64"/>
      <c r="V64"/>
      <c r="W64"/>
      <c r="X64"/>
    </row>
    <row r="65" spans="1:24" x14ac:dyDescent="0.3">
      <c r="N65" s="64">
        <f t="shared" si="6"/>
        <v>-5.5555529652753628E-2</v>
      </c>
      <c r="O65" s="64">
        <f t="shared" si="6"/>
        <v>0.11111105930550724</v>
      </c>
      <c r="P65" s="64">
        <f t="shared" si="6"/>
        <v>0.1111109815972464</v>
      </c>
      <c r="R65"/>
      <c r="S65"/>
      <c r="T65"/>
      <c r="U65"/>
      <c r="V65"/>
      <c r="W65"/>
      <c r="X65"/>
    </row>
    <row r="66" spans="1:24" x14ac:dyDescent="0.3">
      <c r="R66"/>
      <c r="S66"/>
      <c r="T66"/>
      <c r="U66"/>
      <c r="V66"/>
      <c r="W66"/>
      <c r="X66"/>
    </row>
    <row r="67" spans="1:24" x14ac:dyDescent="0.3">
      <c r="B67" s="13" t="s">
        <v>88</v>
      </c>
      <c r="N67" s="33">
        <f>SUM(N63:N65)</f>
        <v>0.16666651125000004</v>
      </c>
      <c r="O67" s="33">
        <f>SUM(O63:O65)</f>
        <v>0.66666697749999992</v>
      </c>
      <c r="R67"/>
      <c r="S67"/>
      <c r="T67"/>
      <c r="U67"/>
      <c r="V67"/>
      <c r="W67"/>
      <c r="X67"/>
    </row>
    <row r="68" spans="1:24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</row>
    <row r="69" spans="1:24" x14ac:dyDescent="0.3">
      <c r="A69" s="13" t="s">
        <v>33</v>
      </c>
      <c r="B69" s="13" t="s">
        <v>28</v>
      </c>
      <c r="D69" s="13" t="s">
        <v>87</v>
      </c>
      <c r="I69" s="13" t="s">
        <v>41</v>
      </c>
      <c r="K69" s="13" t="s">
        <v>70</v>
      </c>
      <c r="M69" s="13" t="s">
        <v>71</v>
      </c>
      <c r="Q69"/>
      <c r="R69"/>
      <c r="S69"/>
      <c r="T69"/>
      <c r="U69"/>
      <c r="V69"/>
      <c r="W69"/>
      <c r="X69"/>
    </row>
    <row r="70" spans="1:24" x14ac:dyDescent="0.3">
      <c r="A70" s="14" t="s">
        <v>8</v>
      </c>
      <c r="B70" s="13">
        <v>0</v>
      </c>
      <c r="D70" s="13">
        <f>-0.5+B70</f>
        <v>-0.5</v>
      </c>
      <c r="E70">
        <f>-2*B70</f>
        <v>0</v>
      </c>
      <c r="F70" s="13">
        <f>0.5+B70</f>
        <v>0.5</v>
      </c>
      <c r="G70"/>
      <c r="H70"/>
      <c r="I70">
        <f>MMULT(D70:F70,$B$4:$B$6)</f>
        <v>0.5</v>
      </c>
      <c r="J70"/>
      <c r="K70">
        <f>MDETERM(I70)</f>
        <v>0.5</v>
      </c>
      <c r="L70"/>
      <c r="M70">
        <f>K70*2</f>
        <v>1</v>
      </c>
      <c r="O70"/>
      <c r="P70"/>
      <c r="Q70"/>
      <c r="R70"/>
      <c r="S70"/>
      <c r="T70"/>
      <c r="U70"/>
      <c r="V70"/>
      <c r="W70"/>
      <c r="X70"/>
    </row>
    <row r="71" spans="1:24" x14ac:dyDescent="0.3">
      <c r="A71" s="14"/>
      <c r="D71"/>
      <c r="E71"/>
      <c r="F71"/>
      <c r="G71"/>
      <c r="H71"/>
      <c r="I71"/>
      <c r="J71"/>
      <c r="K71"/>
      <c r="L71"/>
      <c r="M71"/>
      <c r="Q71"/>
      <c r="R71"/>
      <c r="S71"/>
      <c r="T71"/>
      <c r="U71"/>
      <c r="V71"/>
      <c r="W71"/>
      <c r="X71"/>
    </row>
    <row r="72" spans="1:24" x14ac:dyDescent="0.3">
      <c r="A72" s="14"/>
      <c r="D72" s="13" t="s">
        <v>49</v>
      </c>
      <c r="E72" s="13" t="s">
        <v>50</v>
      </c>
      <c r="F72" s="13" t="s">
        <v>51</v>
      </c>
      <c r="H72" s="13" t="s">
        <v>72</v>
      </c>
      <c r="J72" s="13" t="s">
        <v>73</v>
      </c>
      <c r="N72" s="13" t="s">
        <v>74</v>
      </c>
      <c r="Q72"/>
      <c r="R72"/>
      <c r="S72"/>
      <c r="T72"/>
      <c r="U72"/>
      <c r="V72"/>
      <c r="W72"/>
      <c r="X72"/>
    </row>
    <row r="73" spans="1:24" x14ac:dyDescent="0.3">
      <c r="D73" s="13">
        <f>-B70*(1-B70)/2</f>
        <v>0</v>
      </c>
      <c r="E73" s="13">
        <f>(1-B70)*(1+B70)</f>
        <v>1</v>
      </c>
      <c r="F73" s="13">
        <f>B70*(1+B70)/2</f>
        <v>0</v>
      </c>
      <c r="H73" s="13">
        <f t="array" ref="H73:H75">TRANSPOSE(D73:F73)</f>
        <v>0</v>
      </c>
      <c r="J73" s="13">
        <f t="array" ref="J73:L75">MMULT(H73:H75,D73:F73)</f>
        <v>0</v>
      </c>
      <c r="K73" s="13">
        <v>0</v>
      </c>
      <c r="L73" s="13">
        <v>0</v>
      </c>
      <c r="N73" s="13">
        <f>J73*$M$70</f>
        <v>0</v>
      </c>
      <c r="O73" s="13">
        <f t="shared" ref="O73:P75" si="7">K73*$M$70</f>
        <v>0</v>
      </c>
      <c r="P73" s="13">
        <f t="shared" si="7"/>
        <v>0</v>
      </c>
      <c r="Q73"/>
      <c r="R73" s="67" t="s">
        <v>105</v>
      </c>
      <c r="S73"/>
      <c r="T73"/>
      <c r="U73"/>
      <c r="V73"/>
      <c r="W73"/>
      <c r="X73"/>
    </row>
    <row r="74" spans="1:24" x14ac:dyDescent="0.3">
      <c r="H74" s="13">
        <v>1</v>
      </c>
      <c r="J74" s="13">
        <v>0</v>
      </c>
      <c r="K74" s="13">
        <v>1</v>
      </c>
      <c r="L74" s="13">
        <v>0</v>
      </c>
      <c r="N74" s="13">
        <f>J74*$M$70</f>
        <v>0</v>
      </c>
      <c r="O74" s="13">
        <f t="shared" si="7"/>
        <v>1</v>
      </c>
      <c r="P74" s="13">
        <f t="shared" si="7"/>
        <v>0</v>
      </c>
      <c r="Q74"/>
      <c r="R74"/>
      <c r="S74"/>
      <c r="T74"/>
      <c r="U74"/>
      <c r="V74"/>
      <c r="W74"/>
      <c r="X74"/>
    </row>
    <row r="75" spans="1:24" x14ac:dyDescent="0.3">
      <c r="D75" s="13">
        <f>SUM(D73:F73)</f>
        <v>1</v>
      </c>
      <c r="H75" s="13">
        <v>0</v>
      </c>
      <c r="J75" s="13">
        <v>0</v>
      </c>
      <c r="K75" s="13">
        <v>0</v>
      </c>
      <c r="L75" s="13">
        <v>0</v>
      </c>
      <c r="N75" s="13">
        <f>J75*$M$70</f>
        <v>0</v>
      </c>
      <c r="O75" s="13">
        <f t="shared" si="7"/>
        <v>0</v>
      </c>
      <c r="P75" s="13">
        <f t="shared" si="7"/>
        <v>0</v>
      </c>
      <c r="Q75"/>
      <c r="R75"/>
      <c r="S75"/>
      <c r="T75"/>
      <c r="U75"/>
      <c r="V75"/>
      <c r="W75"/>
      <c r="X75"/>
    </row>
    <row r="76" spans="1:24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  <row r="77" spans="1:24" x14ac:dyDescent="0.3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</row>
    <row r="78" spans="1:24" x14ac:dyDescent="0.3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</row>
    <row r="79" spans="1:24" x14ac:dyDescent="0.3">
      <c r="R79"/>
      <c r="S79"/>
      <c r="T79"/>
      <c r="U79"/>
      <c r="V79"/>
      <c r="W79"/>
      <c r="X79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103"/>
  <sheetViews>
    <sheetView topLeftCell="G28" workbookViewId="0">
      <selection activeCell="P41" sqref="P41"/>
    </sheetView>
  </sheetViews>
  <sheetFormatPr defaultRowHeight="14.4" x14ac:dyDescent="0.3"/>
  <sheetData>
    <row r="3" spans="2:2" x14ac:dyDescent="0.3">
      <c r="B3" t="s">
        <v>16</v>
      </c>
    </row>
    <row r="7" spans="2:2" x14ac:dyDescent="0.3">
      <c r="B7" t="s">
        <v>94</v>
      </c>
    </row>
    <row r="8" spans="2:2" x14ac:dyDescent="0.3">
      <c r="B8" t="s">
        <v>37</v>
      </c>
    </row>
    <row r="10" spans="2:2" x14ac:dyDescent="0.3">
      <c r="B10" t="s">
        <v>111</v>
      </c>
    </row>
    <row r="15" spans="2:2" x14ac:dyDescent="0.3">
      <c r="B15" t="s">
        <v>108</v>
      </c>
    </row>
    <row r="24" spans="2:23" x14ac:dyDescent="0.3">
      <c r="B24" t="s">
        <v>109</v>
      </c>
    </row>
    <row r="25" spans="2:23" x14ac:dyDescent="0.3">
      <c r="H25" t="s">
        <v>110</v>
      </c>
    </row>
    <row r="26" spans="2:23" x14ac:dyDescent="0.3">
      <c r="K26" t="s">
        <v>108</v>
      </c>
    </row>
    <row r="28" spans="2:23" ht="15" thickBot="1" x14ac:dyDescent="0.35">
      <c r="C28" t="s">
        <v>0</v>
      </c>
      <c r="D28" t="s">
        <v>1</v>
      </c>
      <c r="E28" t="s">
        <v>2</v>
      </c>
      <c r="H28" t="s">
        <v>89</v>
      </c>
      <c r="I28" t="s">
        <v>32</v>
      </c>
      <c r="W28" t="s">
        <v>106</v>
      </c>
    </row>
    <row r="29" spans="2:23" x14ac:dyDescent="0.3">
      <c r="B29">
        <v>5</v>
      </c>
      <c r="C29" s="18">
        <v>0</v>
      </c>
      <c r="D29" s="19">
        <v>0</v>
      </c>
      <c r="E29" s="20">
        <v>10</v>
      </c>
      <c r="F29" s="5">
        <v>1</v>
      </c>
      <c r="H29">
        <f>MDETERM(C29:F32)</f>
        <v>1000</v>
      </c>
      <c r="I29" s="16">
        <f>ABS(H29/6)</f>
        <v>166.66666666666666</v>
      </c>
    </row>
    <row r="30" spans="2:23" x14ac:dyDescent="0.3">
      <c r="B30">
        <v>6</v>
      </c>
      <c r="C30" s="21">
        <v>10</v>
      </c>
      <c r="D30" s="22">
        <v>0</v>
      </c>
      <c r="E30" s="23">
        <v>10</v>
      </c>
      <c r="F30" s="8">
        <v>1</v>
      </c>
    </row>
    <row r="31" spans="2:23" x14ac:dyDescent="0.3">
      <c r="B31">
        <v>7</v>
      </c>
      <c r="C31" s="21">
        <v>10</v>
      </c>
      <c r="D31" s="22">
        <v>10</v>
      </c>
      <c r="E31" s="23">
        <v>10</v>
      </c>
      <c r="F31" s="8">
        <v>1</v>
      </c>
    </row>
    <row r="32" spans="2:23" ht="15" thickBot="1" x14ac:dyDescent="0.35">
      <c r="B32">
        <v>3</v>
      </c>
      <c r="C32" s="24">
        <v>10</v>
      </c>
      <c r="D32" s="25">
        <v>10</v>
      </c>
      <c r="E32" s="26">
        <v>0</v>
      </c>
      <c r="F32" s="11">
        <v>1</v>
      </c>
    </row>
    <row r="33" spans="1:19" x14ac:dyDescent="0.3">
      <c r="O33" t="s">
        <v>92</v>
      </c>
    </row>
    <row r="34" spans="1:19" x14ac:dyDescent="0.3">
      <c r="A34" t="s">
        <v>69</v>
      </c>
      <c r="O34" t="s">
        <v>91</v>
      </c>
    </row>
    <row r="35" spans="1:19" x14ac:dyDescent="0.3">
      <c r="A35" s="13"/>
      <c r="B35" s="13"/>
      <c r="C35" s="13"/>
      <c r="J35" s="13"/>
      <c r="K35" s="13"/>
      <c r="L35" s="13"/>
      <c r="M35" s="13"/>
    </row>
    <row r="36" spans="1:19" ht="15" thickBot="1" x14ac:dyDescent="0.35">
      <c r="A36" t="s">
        <v>33</v>
      </c>
      <c r="B36" t="s">
        <v>28</v>
      </c>
      <c r="D36" t="s">
        <v>90</v>
      </c>
      <c r="I36" t="s">
        <v>41</v>
      </c>
      <c r="J36" s="13"/>
      <c r="M36" t="s">
        <v>70</v>
      </c>
      <c r="O36" t="s">
        <v>71</v>
      </c>
      <c r="Q36" s="43"/>
    </row>
    <row r="37" spans="1:19" x14ac:dyDescent="0.3">
      <c r="A37" s="14" t="s">
        <v>8</v>
      </c>
      <c r="B37" s="13">
        <v>0.25</v>
      </c>
      <c r="C37" s="13"/>
      <c r="D37" s="3">
        <v>-1</v>
      </c>
      <c r="E37" s="4">
        <v>1</v>
      </c>
      <c r="F37" s="4">
        <v>0</v>
      </c>
      <c r="G37" s="5">
        <v>0</v>
      </c>
      <c r="I37" s="3">
        <f t="array" ref="I37:K39">MMULT(D37:G39,$C$29:$E$32)</f>
        <v>10</v>
      </c>
      <c r="J37" s="4">
        <v>0</v>
      </c>
      <c r="K37" s="5">
        <v>0</v>
      </c>
      <c r="M37">
        <f t="array" ref="M37">MDETERM(I37:K39)</f>
        <v>-1000</v>
      </c>
      <c r="O37">
        <f>ABS(M37)*1/6</f>
        <v>166.66666666666666</v>
      </c>
    </row>
    <row r="38" spans="1:19" x14ac:dyDescent="0.3">
      <c r="A38" s="14" t="s">
        <v>9</v>
      </c>
      <c r="B38" s="13">
        <v>0.25</v>
      </c>
      <c r="C38" s="13"/>
      <c r="D38" s="6">
        <v>-1</v>
      </c>
      <c r="E38" s="7">
        <v>0</v>
      </c>
      <c r="F38" s="7">
        <v>1</v>
      </c>
      <c r="G38" s="8">
        <v>0</v>
      </c>
      <c r="I38" s="6">
        <v>10</v>
      </c>
      <c r="J38" s="7">
        <v>10</v>
      </c>
      <c r="K38" s="8">
        <v>0</v>
      </c>
    </row>
    <row r="39" spans="1:19" ht="15" thickBot="1" x14ac:dyDescent="0.35">
      <c r="A39" s="14" t="s">
        <v>10</v>
      </c>
      <c r="B39" s="13">
        <v>0.25</v>
      </c>
      <c r="C39" s="13"/>
      <c r="D39" s="9">
        <v>-1</v>
      </c>
      <c r="E39" s="10">
        <v>0</v>
      </c>
      <c r="F39" s="10">
        <v>0</v>
      </c>
      <c r="G39" s="11">
        <v>1</v>
      </c>
      <c r="I39" s="9">
        <v>10</v>
      </c>
      <c r="J39" s="10">
        <v>10</v>
      </c>
      <c r="K39" s="11">
        <v>-10</v>
      </c>
    </row>
    <row r="41" spans="1:19" x14ac:dyDescent="0.3">
      <c r="D41" s="13" t="s">
        <v>49</v>
      </c>
      <c r="E41" s="13" t="s">
        <v>50</v>
      </c>
      <c r="F41" s="13" t="s">
        <v>51</v>
      </c>
      <c r="G41" s="13" t="s">
        <v>52</v>
      </c>
      <c r="H41" s="13"/>
      <c r="I41" s="13" t="s">
        <v>72</v>
      </c>
      <c r="K41" s="13" t="s">
        <v>73</v>
      </c>
      <c r="P41" s="13" t="s">
        <v>74</v>
      </c>
    </row>
    <row r="42" spans="1:19" x14ac:dyDescent="0.3">
      <c r="D42" s="13">
        <f>1-B37-B38-B39</f>
        <v>0.25</v>
      </c>
      <c r="E42" s="13">
        <f>B37</f>
        <v>0.25</v>
      </c>
      <c r="F42" s="13">
        <f>B38</f>
        <v>0.25</v>
      </c>
      <c r="G42" s="13">
        <f>B39</f>
        <v>0.25</v>
      </c>
      <c r="I42">
        <f t="array" ref="I42:I45">TRANSPOSE(D42:G42)</f>
        <v>0.25</v>
      </c>
      <c r="K42">
        <f t="array" ref="K42:N45">MMULT(I42:I45,D42:G42)</f>
        <v>6.25E-2</v>
      </c>
      <c r="L42">
        <v>6.25E-2</v>
      </c>
      <c r="M42">
        <v>6.25E-2</v>
      </c>
      <c r="N42">
        <v>6.25E-2</v>
      </c>
      <c r="O42">
        <f>SUM(P42:S42)</f>
        <v>41.666666666666664</v>
      </c>
      <c r="P42">
        <f>K42*$O$37</f>
        <v>10.416666666666666</v>
      </c>
      <c r="Q42">
        <f t="shared" ref="Q42:S45" si="0">L42*$O$37</f>
        <v>10.416666666666666</v>
      </c>
      <c r="R42">
        <f t="shared" si="0"/>
        <v>10.416666666666666</v>
      </c>
      <c r="S42">
        <f t="shared" si="0"/>
        <v>10.416666666666666</v>
      </c>
    </row>
    <row r="43" spans="1:19" x14ac:dyDescent="0.3">
      <c r="D43" t="s">
        <v>107</v>
      </c>
      <c r="I43">
        <v>0.25</v>
      </c>
      <c r="K43">
        <v>6.25E-2</v>
      </c>
      <c r="L43">
        <v>6.25E-2</v>
      </c>
      <c r="M43">
        <v>6.25E-2</v>
      </c>
      <c r="N43">
        <v>6.25E-2</v>
      </c>
      <c r="P43">
        <f>K43*$O$37</f>
        <v>10.416666666666666</v>
      </c>
      <c r="Q43">
        <f t="shared" si="0"/>
        <v>10.416666666666666</v>
      </c>
      <c r="R43">
        <f t="shared" si="0"/>
        <v>10.416666666666666</v>
      </c>
      <c r="S43">
        <f t="shared" si="0"/>
        <v>10.416666666666666</v>
      </c>
    </row>
    <row r="44" spans="1:19" x14ac:dyDescent="0.3">
      <c r="D44" s="13">
        <f>SUM(D42:G42)</f>
        <v>1</v>
      </c>
      <c r="I44">
        <v>0.25</v>
      </c>
      <c r="K44">
        <v>6.25E-2</v>
      </c>
      <c r="L44">
        <v>6.25E-2</v>
      </c>
      <c r="M44">
        <v>6.25E-2</v>
      </c>
      <c r="N44">
        <v>6.25E-2</v>
      </c>
      <c r="P44">
        <f>K44*$O$37</f>
        <v>10.416666666666666</v>
      </c>
      <c r="Q44">
        <f t="shared" si="0"/>
        <v>10.416666666666666</v>
      </c>
      <c r="R44">
        <f t="shared" si="0"/>
        <v>10.416666666666666</v>
      </c>
      <c r="S44">
        <f t="shared" si="0"/>
        <v>10.416666666666666</v>
      </c>
    </row>
    <row r="45" spans="1:19" x14ac:dyDescent="0.3">
      <c r="I45">
        <v>0.25</v>
      </c>
      <c r="K45">
        <v>6.25E-2</v>
      </c>
      <c r="L45">
        <v>6.25E-2</v>
      </c>
      <c r="M45">
        <v>6.25E-2</v>
      </c>
      <c r="N45">
        <v>6.25E-2</v>
      </c>
      <c r="P45">
        <f>K45*$O$37</f>
        <v>10.416666666666666</v>
      </c>
      <c r="Q45">
        <f t="shared" si="0"/>
        <v>10.416666666666666</v>
      </c>
      <c r="R45">
        <f t="shared" si="0"/>
        <v>10.416666666666666</v>
      </c>
      <c r="S45">
        <f t="shared" si="0"/>
        <v>10.416666666666666</v>
      </c>
    </row>
    <row r="47" spans="1:19" x14ac:dyDescent="0.3">
      <c r="O47" s="15"/>
      <c r="P47" s="16">
        <f>SUM(P42:P45)</f>
        <v>41.666666666666664</v>
      </c>
    </row>
    <row r="48" spans="1:19" x14ac:dyDescent="0.3">
      <c r="O48" s="15"/>
    </row>
    <row r="49" spans="1:19" x14ac:dyDescent="0.3">
      <c r="A49" t="s">
        <v>93</v>
      </c>
      <c r="O49" s="15"/>
    </row>
    <row r="50" spans="1:19" x14ac:dyDescent="0.3">
      <c r="A50">
        <v>1</v>
      </c>
      <c r="O50" s="15"/>
    </row>
    <row r="51" spans="1:19" ht="15" thickBot="1" x14ac:dyDescent="0.35">
      <c r="A51" t="s">
        <v>33</v>
      </c>
      <c r="B51" t="s">
        <v>28</v>
      </c>
      <c r="D51" t="s">
        <v>90</v>
      </c>
      <c r="I51" t="s">
        <v>41</v>
      </c>
      <c r="J51" s="13"/>
      <c r="M51" t="s">
        <v>70</v>
      </c>
      <c r="O51" t="s">
        <v>71</v>
      </c>
      <c r="Q51" s="43"/>
    </row>
    <row r="52" spans="1:19" x14ac:dyDescent="0.3">
      <c r="A52" s="14" t="s">
        <v>8</v>
      </c>
      <c r="B52" s="13">
        <f>(5+3*5^0.5)/20</f>
        <v>0.58541019662496852</v>
      </c>
      <c r="C52" s="13"/>
      <c r="D52" s="3">
        <v>-1</v>
      </c>
      <c r="E52" s="4">
        <v>1</v>
      </c>
      <c r="F52" s="4">
        <v>0</v>
      </c>
      <c r="G52" s="5">
        <v>0</v>
      </c>
      <c r="I52">
        <f t="array" ref="I52:K54">MMULT(D52:G54,$C$29:$E$32)</f>
        <v>10</v>
      </c>
      <c r="J52">
        <v>0</v>
      </c>
      <c r="K52">
        <v>0</v>
      </c>
      <c r="M52">
        <f t="array" ref="M52">MDETERM(I52:K54)</f>
        <v>-1000</v>
      </c>
      <c r="O52">
        <f>ABS(M52)*1/24</f>
        <v>41.666666666666664</v>
      </c>
    </row>
    <row r="53" spans="1:19" x14ac:dyDescent="0.3">
      <c r="A53" s="14" t="s">
        <v>9</v>
      </c>
      <c r="B53" s="13">
        <f>(5-5^0.5)/20</f>
        <v>0.1381966011250105</v>
      </c>
      <c r="C53" s="13"/>
      <c r="D53" s="6">
        <v>-1</v>
      </c>
      <c r="E53" s="7">
        <v>0</v>
      </c>
      <c r="F53" s="7">
        <v>1</v>
      </c>
      <c r="G53" s="8">
        <v>0</v>
      </c>
      <c r="I53">
        <v>10</v>
      </c>
      <c r="J53">
        <v>10</v>
      </c>
      <c r="K53">
        <v>0</v>
      </c>
    </row>
    <row r="54" spans="1:19" ht="15" thickBot="1" x14ac:dyDescent="0.35">
      <c r="A54" s="14" t="s">
        <v>10</v>
      </c>
      <c r="B54" s="13">
        <f>(5-5^0.5)/20</f>
        <v>0.1381966011250105</v>
      </c>
      <c r="C54" s="13"/>
      <c r="D54" s="9">
        <v>-1</v>
      </c>
      <c r="E54" s="10">
        <v>0</v>
      </c>
      <c r="F54" s="10">
        <v>0</v>
      </c>
      <c r="G54" s="11">
        <v>1</v>
      </c>
      <c r="I54">
        <v>10</v>
      </c>
      <c r="J54">
        <v>10</v>
      </c>
      <c r="K54">
        <v>-10</v>
      </c>
    </row>
    <row r="56" spans="1:19" x14ac:dyDescent="0.3">
      <c r="D56" s="13" t="s">
        <v>49</v>
      </c>
      <c r="E56" s="13" t="s">
        <v>50</v>
      </c>
      <c r="F56" s="13" t="s">
        <v>51</v>
      </c>
      <c r="G56" s="13" t="s">
        <v>52</v>
      </c>
      <c r="H56" s="13"/>
      <c r="I56" s="13" t="s">
        <v>72</v>
      </c>
      <c r="K56" s="13" t="s">
        <v>73</v>
      </c>
      <c r="P56" s="13" t="s">
        <v>74</v>
      </c>
    </row>
    <row r="57" spans="1:19" x14ac:dyDescent="0.3">
      <c r="D57" s="13">
        <f>1-B52-B53-B54</f>
        <v>0.13819660112501045</v>
      </c>
      <c r="E57" s="13">
        <f>B52</f>
        <v>0.58541019662496852</v>
      </c>
      <c r="F57" s="13">
        <f>B53</f>
        <v>0.1381966011250105</v>
      </c>
      <c r="G57" s="13">
        <f>B54</f>
        <v>0.1381966011250105</v>
      </c>
      <c r="I57">
        <f t="array" ref="I57:I60">TRANSPOSE(D57:G57)</f>
        <v>0.13819660112501045</v>
      </c>
      <c r="K57">
        <f t="array" ref="K57:N60">MMULT(I57:I60,D57:G57)</f>
        <v>1.9098300562505239E-2</v>
      </c>
      <c r="L57">
        <v>8.0901699437494715E-2</v>
      </c>
      <c r="M57">
        <v>1.9098300562505246E-2</v>
      </c>
      <c r="N57">
        <v>1.9098300562505246E-2</v>
      </c>
      <c r="P57">
        <f>K57*$O$52</f>
        <v>0.79576252343771825</v>
      </c>
      <c r="Q57">
        <f t="shared" ref="Q57:S60" si="1">L57*$O$52</f>
        <v>3.3709041432289464</v>
      </c>
      <c r="R57">
        <f t="shared" si="1"/>
        <v>0.79576252343771858</v>
      </c>
      <c r="S57">
        <f t="shared" si="1"/>
        <v>0.79576252343771858</v>
      </c>
    </row>
    <row r="58" spans="1:19" x14ac:dyDescent="0.3">
      <c r="I58">
        <v>0.58541019662496852</v>
      </c>
      <c r="K58">
        <v>8.0901699437494715E-2</v>
      </c>
      <c r="L58">
        <v>0.3427050983124843</v>
      </c>
      <c r="M58">
        <v>8.0901699437494742E-2</v>
      </c>
      <c r="N58">
        <v>8.0901699437494742E-2</v>
      </c>
      <c r="P58">
        <f>K58*$O$52</f>
        <v>3.3709041432289464</v>
      </c>
      <c r="Q58">
        <f t="shared" si="1"/>
        <v>14.279379096353512</v>
      </c>
      <c r="R58">
        <f t="shared" si="1"/>
        <v>3.3709041432289473</v>
      </c>
      <c r="S58">
        <f t="shared" si="1"/>
        <v>3.3709041432289473</v>
      </c>
    </row>
    <row r="59" spans="1:19" x14ac:dyDescent="0.3">
      <c r="I59">
        <v>0.1381966011250105</v>
      </c>
      <c r="K59">
        <v>1.9098300562505246E-2</v>
      </c>
      <c r="L59">
        <v>8.0901699437494742E-2</v>
      </c>
      <c r="M59">
        <v>1.9098300562505256E-2</v>
      </c>
      <c r="N59">
        <v>1.9098300562505256E-2</v>
      </c>
      <c r="P59">
        <f>K59*$O$52</f>
        <v>0.79576252343771858</v>
      </c>
      <c r="Q59">
        <f t="shared" si="1"/>
        <v>3.3709041432289473</v>
      </c>
      <c r="R59">
        <f t="shared" si="1"/>
        <v>0.79576252343771892</v>
      </c>
      <c r="S59">
        <f t="shared" si="1"/>
        <v>0.79576252343771892</v>
      </c>
    </row>
    <row r="60" spans="1:19" x14ac:dyDescent="0.3">
      <c r="I60">
        <v>0.1381966011250105</v>
      </c>
      <c r="K60">
        <v>1.9098300562505246E-2</v>
      </c>
      <c r="L60">
        <v>8.0901699437494742E-2</v>
      </c>
      <c r="M60">
        <v>1.9098300562505256E-2</v>
      </c>
      <c r="N60">
        <v>1.9098300562505256E-2</v>
      </c>
      <c r="P60">
        <f>K60*$O$52</f>
        <v>0.79576252343771858</v>
      </c>
      <c r="Q60">
        <f t="shared" si="1"/>
        <v>3.3709041432289473</v>
      </c>
      <c r="R60">
        <f t="shared" si="1"/>
        <v>0.79576252343771892</v>
      </c>
      <c r="S60">
        <f t="shared" si="1"/>
        <v>0.79576252343771892</v>
      </c>
    </row>
    <row r="61" spans="1:19" x14ac:dyDescent="0.3">
      <c r="A61">
        <v>2</v>
      </c>
    </row>
    <row r="62" spans="1:19" ht="15" thickBot="1" x14ac:dyDescent="0.35">
      <c r="A62" t="s">
        <v>33</v>
      </c>
      <c r="B62" t="s">
        <v>28</v>
      </c>
      <c r="D62" t="s">
        <v>90</v>
      </c>
      <c r="I62" t="s">
        <v>41</v>
      </c>
      <c r="J62" s="13"/>
      <c r="M62" t="s">
        <v>70</v>
      </c>
      <c r="O62" t="s">
        <v>71</v>
      </c>
      <c r="Q62" s="43"/>
    </row>
    <row r="63" spans="1:19" x14ac:dyDescent="0.3">
      <c r="A63" s="14" t="s">
        <v>8</v>
      </c>
      <c r="B63" s="13">
        <f>(5-5^0.5)/20</f>
        <v>0.1381966011250105</v>
      </c>
      <c r="C63" s="13"/>
      <c r="D63" s="3">
        <v>-1</v>
      </c>
      <c r="E63" s="4">
        <v>1</v>
      </c>
      <c r="F63" s="4">
        <v>0</v>
      </c>
      <c r="G63" s="5">
        <v>0</v>
      </c>
      <c r="I63">
        <f t="array" ref="I63:K65">MMULT(D63:G65,$C$29:$E$32)</f>
        <v>10</v>
      </c>
      <c r="J63">
        <v>0</v>
      </c>
      <c r="K63">
        <v>0</v>
      </c>
      <c r="M63">
        <f t="array" ref="M63">MDETERM(I63:K65)</f>
        <v>-1000</v>
      </c>
      <c r="O63">
        <f>ABS(M63)*1/24</f>
        <v>41.666666666666664</v>
      </c>
    </row>
    <row r="64" spans="1:19" x14ac:dyDescent="0.3">
      <c r="A64" s="14" t="s">
        <v>9</v>
      </c>
      <c r="B64" s="13">
        <f>(5+3*5^0.5)/20</f>
        <v>0.58541019662496852</v>
      </c>
      <c r="C64" s="13"/>
      <c r="D64" s="6">
        <v>-1</v>
      </c>
      <c r="E64" s="7">
        <v>0</v>
      </c>
      <c r="F64" s="7">
        <v>1</v>
      </c>
      <c r="G64" s="8">
        <v>0</v>
      </c>
      <c r="I64">
        <v>10</v>
      </c>
      <c r="J64">
        <v>10</v>
      </c>
      <c r="K64">
        <v>0</v>
      </c>
    </row>
    <row r="65" spans="1:19" ht="15" thickBot="1" x14ac:dyDescent="0.35">
      <c r="A65" s="14" t="s">
        <v>10</v>
      </c>
      <c r="B65" s="13">
        <f>(5-5^0.5)/20</f>
        <v>0.1381966011250105</v>
      </c>
      <c r="C65" s="13"/>
      <c r="D65" s="9">
        <v>-1</v>
      </c>
      <c r="E65" s="10">
        <v>0</v>
      </c>
      <c r="F65" s="10">
        <v>0</v>
      </c>
      <c r="G65" s="11">
        <v>1</v>
      </c>
      <c r="I65">
        <v>10</v>
      </c>
      <c r="J65">
        <v>10</v>
      </c>
      <c r="K65">
        <v>-10</v>
      </c>
    </row>
    <row r="67" spans="1:19" x14ac:dyDescent="0.3">
      <c r="D67" s="13" t="s">
        <v>49</v>
      </c>
      <c r="E67" s="13" t="s">
        <v>50</v>
      </c>
      <c r="F67" s="13" t="s">
        <v>51</v>
      </c>
      <c r="G67" s="13" t="s">
        <v>52</v>
      </c>
      <c r="H67" s="13"/>
      <c r="I67" s="13" t="s">
        <v>72</v>
      </c>
      <c r="K67" s="13" t="s">
        <v>73</v>
      </c>
      <c r="P67" s="13" t="s">
        <v>74</v>
      </c>
    </row>
    <row r="68" spans="1:19" x14ac:dyDescent="0.3">
      <c r="D68" s="13">
        <f>1-B63-B64-B65</f>
        <v>0.13819660112501045</v>
      </c>
      <c r="E68" s="13">
        <f>B63</f>
        <v>0.1381966011250105</v>
      </c>
      <c r="F68" s="13">
        <f>B64</f>
        <v>0.58541019662496852</v>
      </c>
      <c r="G68" s="13">
        <f>B65</f>
        <v>0.1381966011250105</v>
      </c>
      <c r="I68">
        <f t="array" ref="I68:I71">TRANSPOSE(D68:G68)</f>
        <v>0.13819660112501045</v>
      </c>
      <c r="K68">
        <f t="array" ref="K68:N71">MMULT(I68:I71,D68:G68)</f>
        <v>1.9098300562505239E-2</v>
      </c>
      <c r="L68">
        <v>1.9098300562505246E-2</v>
      </c>
      <c r="M68">
        <v>8.0901699437494715E-2</v>
      </c>
      <c r="N68">
        <v>1.9098300562505246E-2</v>
      </c>
      <c r="P68">
        <f>K68*$O$63</f>
        <v>0.79576252343771825</v>
      </c>
      <c r="Q68">
        <f t="shared" ref="Q68:S71" si="2">L68*$O$63</f>
        <v>0.79576252343771858</v>
      </c>
      <c r="R68">
        <f t="shared" si="2"/>
        <v>3.3709041432289464</v>
      </c>
      <c r="S68">
        <f t="shared" si="2"/>
        <v>0.79576252343771858</v>
      </c>
    </row>
    <row r="69" spans="1:19" x14ac:dyDescent="0.3">
      <c r="I69">
        <v>0.1381966011250105</v>
      </c>
      <c r="K69">
        <v>1.9098300562505246E-2</v>
      </c>
      <c r="L69">
        <v>1.9098300562505256E-2</v>
      </c>
      <c r="M69">
        <v>8.0901699437494742E-2</v>
      </c>
      <c r="N69">
        <v>1.9098300562505256E-2</v>
      </c>
      <c r="P69">
        <f>K69*$O$63</f>
        <v>0.79576252343771858</v>
      </c>
      <c r="Q69">
        <f t="shared" si="2"/>
        <v>0.79576252343771892</v>
      </c>
      <c r="R69">
        <f t="shared" si="2"/>
        <v>3.3709041432289473</v>
      </c>
      <c r="S69">
        <f t="shared" si="2"/>
        <v>0.79576252343771892</v>
      </c>
    </row>
    <row r="70" spans="1:19" x14ac:dyDescent="0.3">
      <c r="I70">
        <v>0.58541019662496852</v>
      </c>
      <c r="K70">
        <v>8.0901699437494715E-2</v>
      </c>
      <c r="L70">
        <v>8.0901699437494742E-2</v>
      </c>
      <c r="M70">
        <v>0.3427050983124843</v>
      </c>
      <c r="N70">
        <v>8.0901699437494742E-2</v>
      </c>
      <c r="P70">
        <f>K70*$O$63</f>
        <v>3.3709041432289464</v>
      </c>
      <c r="Q70">
        <f t="shared" si="2"/>
        <v>3.3709041432289473</v>
      </c>
      <c r="R70">
        <f t="shared" si="2"/>
        <v>14.279379096353512</v>
      </c>
      <c r="S70">
        <f t="shared" si="2"/>
        <v>3.3709041432289473</v>
      </c>
    </row>
    <row r="71" spans="1:19" x14ac:dyDescent="0.3">
      <c r="I71">
        <v>0.1381966011250105</v>
      </c>
      <c r="K71">
        <v>1.9098300562505246E-2</v>
      </c>
      <c r="L71">
        <v>1.9098300562505256E-2</v>
      </c>
      <c r="M71">
        <v>8.0901699437494742E-2</v>
      </c>
      <c r="N71">
        <v>1.9098300562505256E-2</v>
      </c>
      <c r="P71">
        <f>K71*$O$63</f>
        <v>0.79576252343771858</v>
      </c>
      <c r="Q71">
        <f t="shared" si="2"/>
        <v>0.79576252343771892</v>
      </c>
      <c r="R71">
        <f t="shared" si="2"/>
        <v>3.3709041432289473</v>
      </c>
      <c r="S71">
        <f t="shared" si="2"/>
        <v>0.79576252343771892</v>
      </c>
    </row>
    <row r="72" spans="1:19" x14ac:dyDescent="0.3">
      <c r="A72">
        <v>3</v>
      </c>
    </row>
    <row r="73" spans="1:19" ht="15" thickBot="1" x14ac:dyDescent="0.35">
      <c r="A73" t="s">
        <v>33</v>
      </c>
      <c r="B73" t="s">
        <v>28</v>
      </c>
      <c r="D73" t="s">
        <v>90</v>
      </c>
      <c r="I73" t="s">
        <v>41</v>
      </c>
      <c r="J73" s="13"/>
      <c r="M73" t="s">
        <v>70</v>
      </c>
      <c r="O73" t="s">
        <v>71</v>
      </c>
      <c r="Q73" s="43"/>
    </row>
    <row r="74" spans="1:19" x14ac:dyDescent="0.3">
      <c r="A74" s="14" t="s">
        <v>8</v>
      </c>
      <c r="B74" s="13">
        <f>(5-5^0.5)/20</f>
        <v>0.1381966011250105</v>
      </c>
      <c r="C74" s="13"/>
      <c r="D74" s="3">
        <v>-1</v>
      </c>
      <c r="E74" s="4">
        <v>1</v>
      </c>
      <c r="F74" s="4">
        <v>0</v>
      </c>
      <c r="G74" s="5">
        <v>0</v>
      </c>
      <c r="I74">
        <f t="array" ref="I74:K76">MMULT(D74:G76,$C$29:$E$32)</f>
        <v>10</v>
      </c>
      <c r="J74">
        <v>0</v>
      </c>
      <c r="K74">
        <v>0</v>
      </c>
      <c r="M74">
        <f t="array" ref="M74">MDETERM(I74:K76)</f>
        <v>-1000</v>
      </c>
      <c r="O74">
        <f>ABS(M74)*1/24</f>
        <v>41.666666666666664</v>
      </c>
    </row>
    <row r="75" spans="1:19" x14ac:dyDescent="0.3">
      <c r="A75" s="14" t="s">
        <v>9</v>
      </c>
      <c r="B75" s="13">
        <f>(5-5^0.5)/20</f>
        <v>0.1381966011250105</v>
      </c>
      <c r="C75" s="13"/>
      <c r="D75" s="6">
        <v>-1</v>
      </c>
      <c r="E75" s="7">
        <v>0</v>
      </c>
      <c r="F75" s="7">
        <v>1</v>
      </c>
      <c r="G75" s="8">
        <v>0</v>
      </c>
      <c r="I75">
        <v>10</v>
      </c>
      <c r="J75">
        <v>10</v>
      </c>
      <c r="K75">
        <v>0</v>
      </c>
    </row>
    <row r="76" spans="1:19" ht="15" thickBot="1" x14ac:dyDescent="0.35">
      <c r="A76" s="14" t="s">
        <v>10</v>
      </c>
      <c r="B76" s="13">
        <f>(5+3*5^0.5)/20</f>
        <v>0.58541019662496852</v>
      </c>
      <c r="C76" s="13"/>
      <c r="D76" s="9">
        <v>-1</v>
      </c>
      <c r="E76" s="10">
        <v>0</v>
      </c>
      <c r="F76" s="10">
        <v>0</v>
      </c>
      <c r="G76" s="11">
        <v>1</v>
      </c>
      <c r="I76">
        <v>10</v>
      </c>
      <c r="J76">
        <v>10</v>
      </c>
      <c r="K76">
        <v>-10</v>
      </c>
    </row>
    <row r="78" spans="1:19" x14ac:dyDescent="0.3">
      <c r="D78" s="13" t="s">
        <v>49</v>
      </c>
      <c r="E78" s="13" t="s">
        <v>50</v>
      </c>
      <c r="F78" s="13" t="s">
        <v>51</v>
      </c>
      <c r="G78" s="13" t="s">
        <v>52</v>
      </c>
      <c r="H78" s="13"/>
      <c r="I78" s="13" t="s">
        <v>72</v>
      </c>
      <c r="K78" s="13" t="s">
        <v>73</v>
      </c>
      <c r="P78" s="13" t="s">
        <v>74</v>
      </c>
    </row>
    <row r="79" spans="1:19" x14ac:dyDescent="0.3">
      <c r="D79" s="13">
        <f>1-B74-B75-B76</f>
        <v>0.13819660112501042</v>
      </c>
      <c r="E79" s="13">
        <f>B74</f>
        <v>0.1381966011250105</v>
      </c>
      <c r="F79" s="13">
        <f>B75</f>
        <v>0.1381966011250105</v>
      </c>
      <c r="G79" s="13">
        <f>B76</f>
        <v>0.58541019662496852</v>
      </c>
      <c r="I79">
        <f t="array" ref="I79:I82">TRANSPOSE(D79:G79)</f>
        <v>0.13819660112501042</v>
      </c>
      <c r="K79">
        <f t="array" ref="K79:N82">MMULT(I79:I82,D79:G79)</f>
        <v>1.9098300562505232E-2</v>
      </c>
      <c r="L79">
        <v>1.9098300562505242E-2</v>
      </c>
      <c r="M79">
        <v>1.9098300562505242E-2</v>
      </c>
      <c r="N79">
        <v>8.0901699437494701E-2</v>
      </c>
      <c r="P79">
        <f>K79*$O$74</f>
        <v>0.79576252343771792</v>
      </c>
      <c r="Q79">
        <f t="shared" ref="Q79:S82" si="3">L79*$O$74</f>
        <v>0.79576252343771836</v>
      </c>
      <c r="R79">
        <f t="shared" si="3"/>
        <v>0.79576252343771836</v>
      </c>
      <c r="S79">
        <f t="shared" si="3"/>
        <v>3.3709041432289455</v>
      </c>
    </row>
    <row r="80" spans="1:19" x14ac:dyDescent="0.3">
      <c r="I80">
        <v>0.1381966011250105</v>
      </c>
      <c r="K80">
        <v>1.9098300562505242E-2</v>
      </c>
      <c r="L80">
        <v>1.9098300562505256E-2</v>
      </c>
      <c r="M80">
        <v>1.9098300562505256E-2</v>
      </c>
      <c r="N80">
        <v>8.0901699437494742E-2</v>
      </c>
      <c r="P80">
        <f>K80*$O$74</f>
        <v>0.79576252343771836</v>
      </c>
      <c r="Q80">
        <f t="shared" si="3"/>
        <v>0.79576252343771892</v>
      </c>
      <c r="R80">
        <f t="shared" si="3"/>
        <v>0.79576252343771892</v>
      </c>
      <c r="S80">
        <f t="shared" si="3"/>
        <v>3.3709041432289473</v>
      </c>
    </row>
    <row r="81" spans="1:19" x14ac:dyDescent="0.3">
      <c r="I81">
        <v>0.1381966011250105</v>
      </c>
      <c r="K81">
        <v>1.9098300562505242E-2</v>
      </c>
      <c r="L81">
        <v>1.9098300562505256E-2</v>
      </c>
      <c r="M81">
        <v>1.9098300562505256E-2</v>
      </c>
      <c r="N81">
        <v>8.0901699437494742E-2</v>
      </c>
      <c r="P81">
        <f>K81*$O$74</f>
        <v>0.79576252343771836</v>
      </c>
      <c r="Q81">
        <f t="shared" si="3"/>
        <v>0.79576252343771892</v>
      </c>
      <c r="R81">
        <f t="shared" si="3"/>
        <v>0.79576252343771892</v>
      </c>
      <c r="S81">
        <f t="shared" si="3"/>
        <v>3.3709041432289473</v>
      </c>
    </row>
    <row r="82" spans="1:19" x14ac:dyDescent="0.3">
      <c r="I82">
        <v>0.58541019662496852</v>
      </c>
      <c r="K82">
        <v>8.0901699437494701E-2</v>
      </c>
      <c r="L82">
        <v>8.0901699437494742E-2</v>
      </c>
      <c r="M82">
        <v>8.0901699437494742E-2</v>
      </c>
      <c r="N82">
        <v>0.3427050983124843</v>
      </c>
      <c r="P82">
        <f>K82*$O$74</f>
        <v>3.3709041432289455</v>
      </c>
      <c r="Q82">
        <f t="shared" si="3"/>
        <v>3.3709041432289473</v>
      </c>
      <c r="R82">
        <f t="shared" si="3"/>
        <v>3.3709041432289473</v>
      </c>
      <c r="S82">
        <f t="shared" si="3"/>
        <v>14.279379096353512</v>
      </c>
    </row>
    <row r="83" spans="1:19" x14ac:dyDescent="0.3">
      <c r="A83">
        <v>4</v>
      </c>
    </row>
    <row r="84" spans="1:19" ht="15" thickBot="1" x14ac:dyDescent="0.35">
      <c r="A84" t="s">
        <v>33</v>
      </c>
      <c r="B84" t="s">
        <v>28</v>
      </c>
      <c r="D84" t="s">
        <v>90</v>
      </c>
      <c r="I84" t="s">
        <v>41</v>
      </c>
      <c r="J84" s="13"/>
      <c r="M84" t="s">
        <v>70</v>
      </c>
      <c r="O84" t="s">
        <v>71</v>
      </c>
      <c r="Q84" s="43"/>
    </row>
    <row r="85" spans="1:19" x14ac:dyDescent="0.3">
      <c r="A85" s="14" t="s">
        <v>8</v>
      </c>
      <c r="B85" s="13">
        <f>(5-5^0.5)/20</f>
        <v>0.1381966011250105</v>
      </c>
      <c r="C85" s="13"/>
      <c r="D85" s="3">
        <v>-1</v>
      </c>
      <c r="E85" s="4">
        <v>1</v>
      </c>
      <c r="F85" s="4">
        <v>0</v>
      </c>
      <c r="G85" s="5">
        <v>0</v>
      </c>
      <c r="I85">
        <f t="array" ref="I85:K87">MMULT(D85:G87,$C$29:$E$32)</f>
        <v>10</v>
      </c>
      <c r="J85">
        <v>0</v>
      </c>
      <c r="K85">
        <v>0</v>
      </c>
      <c r="M85">
        <f t="array" ref="M85">MDETERM(I85:K87)</f>
        <v>-1000</v>
      </c>
      <c r="O85">
        <f>ABS(M85)*1/24</f>
        <v>41.666666666666664</v>
      </c>
    </row>
    <row r="86" spans="1:19" x14ac:dyDescent="0.3">
      <c r="A86" s="14" t="s">
        <v>9</v>
      </c>
      <c r="B86" s="13">
        <f>(5-5^0.5)/20</f>
        <v>0.1381966011250105</v>
      </c>
      <c r="C86" s="13"/>
      <c r="D86" s="6">
        <v>-1</v>
      </c>
      <c r="E86" s="7">
        <v>0</v>
      </c>
      <c r="F86" s="7">
        <v>1</v>
      </c>
      <c r="G86" s="8">
        <v>0</v>
      </c>
      <c r="I86">
        <v>10</v>
      </c>
      <c r="J86">
        <v>10</v>
      </c>
      <c r="K86">
        <v>0</v>
      </c>
    </row>
    <row r="87" spans="1:19" ht="15" thickBot="1" x14ac:dyDescent="0.35">
      <c r="A87" s="14" t="s">
        <v>10</v>
      </c>
      <c r="B87" s="13">
        <f>(5-5^0.5)/20</f>
        <v>0.1381966011250105</v>
      </c>
      <c r="C87" s="13"/>
      <c r="D87" s="9">
        <v>-1</v>
      </c>
      <c r="E87" s="10">
        <v>0</v>
      </c>
      <c r="F87" s="10">
        <v>0</v>
      </c>
      <c r="G87" s="11">
        <v>1</v>
      </c>
      <c r="I87">
        <v>10</v>
      </c>
      <c r="J87">
        <v>10</v>
      </c>
      <c r="K87">
        <v>-10</v>
      </c>
    </row>
    <row r="89" spans="1:19" x14ac:dyDescent="0.3">
      <c r="D89" s="13" t="s">
        <v>49</v>
      </c>
      <c r="E89" s="13" t="s">
        <v>50</v>
      </c>
      <c r="F89" s="13" t="s">
        <v>51</v>
      </c>
      <c r="G89" s="13" t="s">
        <v>52</v>
      </c>
      <c r="H89" s="13"/>
      <c r="I89" s="13" t="s">
        <v>72</v>
      </c>
      <c r="K89" s="13" t="s">
        <v>73</v>
      </c>
      <c r="P89" s="13" t="s">
        <v>74</v>
      </c>
    </row>
    <row r="90" spans="1:19" x14ac:dyDescent="0.3">
      <c r="D90" s="13">
        <f>1-B85-B86-B87</f>
        <v>0.5854101966249684</v>
      </c>
      <c r="E90" s="13">
        <f>B85</f>
        <v>0.1381966011250105</v>
      </c>
      <c r="F90" s="13">
        <f>B86</f>
        <v>0.1381966011250105</v>
      </c>
      <c r="G90" s="13">
        <f>B87</f>
        <v>0.1381966011250105</v>
      </c>
      <c r="I90">
        <f t="array" ref="I90:I93">TRANSPOSE(D90:G90)</f>
        <v>0.5854101966249684</v>
      </c>
      <c r="K90">
        <f t="array" ref="K90:N93">MMULT(I90:I93,D90:G90)</f>
        <v>0.34270509831248419</v>
      </c>
      <c r="L90">
        <v>8.0901699437494728E-2</v>
      </c>
      <c r="M90">
        <v>8.0901699437494728E-2</v>
      </c>
      <c r="N90">
        <v>8.0901699437494728E-2</v>
      </c>
      <c r="P90">
        <f>K90*$O$85</f>
        <v>14.279379096353507</v>
      </c>
      <c r="Q90">
        <f t="shared" ref="Q90:S93" si="4">L90*$O$85</f>
        <v>3.3709041432289468</v>
      </c>
      <c r="R90">
        <f t="shared" si="4"/>
        <v>3.3709041432289468</v>
      </c>
      <c r="S90">
        <f t="shared" si="4"/>
        <v>3.3709041432289468</v>
      </c>
    </row>
    <row r="91" spans="1:19" x14ac:dyDescent="0.3">
      <c r="I91">
        <v>0.1381966011250105</v>
      </c>
      <c r="K91">
        <v>8.0901699437494728E-2</v>
      </c>
      <c r="L91">
        <v>1.9098300562505256E-2</v>
      </c>
      <c r="M91">
        <v>1.9098300562505256E-2</v>
      </c>
      <c r="N91">
        <v>1.9098300562505256E-2</v>
      </c>
      <c r="P91">
        <f>K91*$O$85</f>
        <v>3.3709041432289468</v>
      </c>
      <c r="Q91">
        <f t="shared" si="4"/>
        <v>0.79576252343771892</v>
      </c>
      <c r="R91">
        <f t="shared" si="4"/>
        <v>0.79576252343771892</v>
      </c>
      <c r="S91">
        <f t="shared" si="4"/>
        <v>0.79576252343771892</v>
      </c>
    </row>
    <row r="92" spans="1:19" x14ac:dyDescent="0.3">
      <c r="D92" s="13">
        <f>SUM(D90:G90)</f>
        <v>1</v>
      </c>
      <c r="I92">
        <v>0.1381966011250105</v>
      </c>
      <c r="K92">
        <v>8.0901699437494728E-2</v>
      </c>
      <c r="L92">
        <v>1.9098300562505256E-2</v>
      </c>
      <c r="M92">
        <v>1.9098300562505256E-2</v>
      </c>
      <c r="N92">
        <v>1.9098300562505256E-2</v>
      </c>
      <c r="P92">
        <f>K92*$O$85</f>
        <v>3.3709041432289468</v>
      </c>
      <c r="Q92">
        <f t="shared" si="4"/>
        <v>0.79576252343771892</v>
      </c>
      <c r="R92">
        <f t="shared" si="4"/>
        <v>0.79576252343771892</v>
      </c>
      <c r="S92">
        <f t="shared" si="4"/>
        <v>0.79576252343771892</v>
      </c>
    </row>
    <row r="93" spans="1:19" x14ac:dyDescent="0.3">
      <c r="I93">
        <v>0.1381966011250105</v>
      </c>
      <c r="K93">
        <v>8.0901699437494728E-2</v>
      </c>
      <c r="L93">
        <v>1.9098300562505256E-2</v>
      </c>
      <c r="M93">
        <v>1.9098300562505256E-2</v>
      </c>
      <c r="N93">
        <v>1.9098300562505256E-2</v>
      </c>
      <c r="P93">
        <f>K93*$O$85</f>
        <v>3.3709041432289468</v>
      </c>
      <c r="Q93">
        <f t="shared" si="4"/>
        <v>0.79576252343771892</v>
      </c>
      <c r="R93">
        <f t="shared" si="4"/>
        <v>0.79576252343771892</v>
      </c>
      <c r="S93">
        <f t="shared" si="4"/>
        <v>0.79576252343771892</v>
      </c>
    </row>
    <row r="95" spans="1:19" x14ac:dyDescent="0.3">
      <c r="O95" t="s">
        <v>68</v>
      </c>
      <c r="P95">
        <f>SUM(P57+P68+P79+P90)</f>
        <v>16.666666666666661</v>
      </c>
      <c r="Q95">
        <f>SUM(Q57+Q68+Q79+Q90)</f>
        <v>8.3333333333333304</v>
      </c>
      <c r="R95">
        <f>SUM(R57+R68+R79+R90)</f>
        <v>8.3333333333333304</v>
      </c>
      <c r="S95">
        <f>SUM(S57+S68+S79+S90)</f>
        <v>8.3333333333333286</v>
      </c>
    </row>
    <row r="96" spans="1:19" x14ac:dyDescent="0.3">
      <c r="P96">
        <f t="shared" ref="P96:S98" si="5">SUM(P58+P69+P80+P91)</f>
        <v>8.3333333333333304</v>
      </c>
      <c r="Q96">
        <f t="shared" si="5"/>
        <v>16.666666666666671</v>
      </c>
      <c r="R96">
        <f t="shared" si="5"/>
        <v>8.3333333333333321</v>
      </c>
      <c r="S96">
        <f t="shared" si="5"/>
        <v>8.3333333333333321</v>
      </c>
    </row>
    <row r="97" spans="16:19" x14ac:dyDescent="0.3">
      <c r="P97">
        <f t="shared" si="5"/>
        <v>8.3333333333333304</v>
      </c>
      <c r="Q97">
        <f t="shared" si="5"/>
        <v>8.3333333333333321</v>
      </c>
      <c r="R97">
        <f t="shared" si="5"/>
        <v>16.666666666666671</v>
      </c>
      <c r="S97">
        <f t="shared" si="5"/>
        <v>8.3333333333333321</v>
      </c>
    </row>
    <row r="98" spans="16:19" x14ac:dyDescent="0.3">
      <c r="P98">
        <f t="shared" si="5"/>
        <v>8.3333333333333286</v>
      </c>
      <c r="Q98">
        <f t="shared" si="5"/>
        <v>8.3333333333333321</v>
      </c>
      <c r="R98">
        <f t="shared" si="5"/>
        <v>8.3333333333333321</v>
      </c>
      <c r="S98">
        <f t="shared" si="5"/>
        <v>16.666666666666668</v>
      </c>
    </row>
    <row r="100" spans="16:19" x14ac:dyDescent="0.3">
      <c r="P100" s="16">
        <f>SUM(P95:P98)</f>
        <v>41.66666666666665</v>
      </c>
    </row>
    <row r="103" spans="16:19" x14ac:dyDescent="0.3">
      <c r="P103">
        <f>P95*20/O37</f>
        <v>1.9999999999999993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63"/>
  <sheetViews>
    <sheetView tabSelected="1" topLeftCell="B40" workbookViewId="0">
      <selection activeCell="S53" sqref="S53"/>
    </sheetView>
  </sheetViews>
  <sheetFormatPr defaultRowHeight="14.4" x14ac:dyDescent="0.3"/>
  <sheetData>
    <row r="3" spans="1:15" ht="15" thickBot="1" x14ac:dyDescent="0.35">
      <c r="C3" t="s">
        <v>0</v>
      </c>
      <c r="D3" t="s">
        <v>1</v>
      </c>
    </row>
    <row r="4" spans="1:15" x14ac:dyDescent="0.3">
      <c r="B4">
        <v>5</v>
      </c>
      <c r="C4" s="18">
        <v>0</v>
      </c>
      <c r="D4" s="20">
        <v>0</v>
      </c>
    </row>
    <row r="5" spans="1:15" x14ac:dyDescent="0.3">
      <c r="B5">
        <v>6</v>
      </c>
      <c r="C5" s="21">
        <v>4</v>
      </c>
      <c r="D5" s="23">
        <v>0</v>
      </c>
    </row>
    <row r="6" spans="1:15" ht="15" thickBot="1" x14ac:dyDescent="0.35">
      <c r="B6">
        <v>7</v>
      </c>
      <c r="C6" s="24">
        <v>0</v>
      </c>
      <c r="D6" s="26">
        <v>2</v>
      </c>
    </row>
    <row r="7" spans="1:15" x14ac:dyDescent="0.3">
      <c r="C7" s="22"/>
      <c r="D7" s="22"/>
    </row>
    <row r="8" spans="1:15" x14ac:dyDescent="0.3">
      <c r="O8" t="s">
        <v>92</v>
      </c>
    </row>
    <row r="9" spans="1:15" x14ac:dyDescent="0.3">
      <c r="A9" t="s">
        <v>69</v>
      </c>
      <c r="O9" t="s">
        <v>91</v>
      </c>
    </row>
    <row r="10" spans="1:15" x14ac:dyDescent="0.3">
      <c r="A10" s="13"/>
      <c r="B10" s="13"/>
      <c r="C10" s="13"/>
      <c r="J10" s="13"/>
      <c r="K10" s="13"/>
      <c r="L10" s="13"/>
      <c r="M10" s="13"/>
    </row>
    <row r="11" spans="1:15" ht="15" thickBot="1" x14ac:dyDescent="0.35">
      <c r="A11" t="s">
        <v>33</v>
      </c>
      <c r="B11" t="s">
        <v>28</v>
      </c>
      <c r="D11" t="s">
        <v>90</v>
      </c>
      <c r="I11" t="s">
        <v>41</v>
      </c>
      <c r="J11" s="13"/>
      <c r="M11" t="s">
        <v>70</v>
      </c>
      <c r="O11" t="s">
        <v>71</v>
      </c>
    </row>
    <row r="12" spans="1:15" x14ac:dyDescent="0.3">
      <c r="A12" s="14" t="s">
        <v>8</v>
      </c>
      <c r="B12" s="13">
        <f>1/3</f>
        <v>0.33333333333333331</v>
      </c>
      <c r="C12" s="13"/>
      <c r="D12" s="3">
        <v>-1</v>
      </c>
      <c r="E12" s="4">
        <v>1</v>
      </c>
      <c r="F12" s="5">
        <v>0</v>
      </c>
      <c r="G12" s="7"/>
      <c r="I12" s="3">
        <f t="array" ref="I12:J13">MMULT(D12:F13,C4:D6)</f>
        <v>4</v>
      </c>
      <c r="J12" s="5">
        <v>0</v>
      </c>
      <c r="K12" s="7"/>
      <c r="M12">
        <f>MDETERM(I12:J13)</f>
        <v>8</v>
      </c>
      <c r="O12">
        <f>M12*0.5</f>
        <v>4</v>
      </c>
    </row>
    <row r="13" spans="1:15" ht="15" thickBot="1" x14ac:dyDescent="0.35">
      <c r="A13" s="14" t="s">
        <v>9</v>
      </c>
      <c r="B13" s="13">
        <f>1/3</f>
        <v>0.33333333333333331</v>
      </c>
      <c r="C13" s="13"/>
      <c r="D13" s="9">
        <v>-1</v>
      </c>
      <c r="E13" s="10">
        <v>0</v>
      </c>
      <c r="F13" s="11">
        <v>1</v>
      </c>
      <c r="G13" s="7"/>
      <c r="I13" s="9">
        <v>0</v>
      </c>
      <c r="J13" s="11">
        <v>2</v>
      </c>
      <c r="K13" s="7"/>
    </row>
    <row r="14" spans="1:15" x14ac:dyDescent="0.3">
      <c r="A14" s="14"/>
      <c r="B14" s="13"/>
      <c r="C14" s="13"/>
      <c r="D14" s="7"/>
      <c r="E14" s="7"/>
      <c r="F14" s="7"/>
      <c r="G14" s="7"/>
      <c r="I14" s="7"/>
      <c r="J14" s="7"/>
      <c r="K14" s="7"/>
    </row>
    <row r="16" spans="1:15" x14ac:dyDescent="0.3">
      <c r="D16" s="13" t="s">
        <v>49</v>
      </c>
      <c r="E16" s="13" t="s">
        <v>50</v>
      </c>
      <c r="F16" s="13" t="s">
        <v>51</v>
      </c>
      <c r="G16" s="13"/>
      <c r="H16" s="13" t="s">
        <v>72</v>
      </c>
      <c r="I16" s="13"/>
      <c r="J16" s="13" t="s">
        <v>73</v>
      </c>
      <c r="K16" s="13"/>
      <c r="N16" t="s">
        <v>74</v>
      </c>
    </row>
    <row r="17" spans="1:18" x14ac:dyDescent="0.3">
      <c r="D17" s="13">
        <f>1-B12-B13</f>
        <v>0.33333333333333343</v>
      </c>
      <c r="E17" s="13">
        <f>B12</f>
        <v>0.33333333333333331</v>
      </c>
      <c r="F17" s="13">
        <f>B13</f>
        <v>0.33333333333333331</v>
      </c>
      <c r="G17" s="13"/>
      <c r="H17">
        <f t="array" ref="H17:H19">TRANSPOSE(D17:F17)</f>
        <v>0.33333333333333343</v>
      </c>
      <c r="J17">
        <f t="array" ref="J17:L19">MMULT(H17:H19,D17:F17)</f>
        <v>0.11111111111111117</v>
      </c>
      <c r="K17">
        <v>0.11111111111111113</v>
      </c>
      <c r="L17">
        <v>0.11111111111111113</v>
      </c>
      <c r="N17">
        <f>J17*$O$12</f>
        <v>0.4444444444444447</v>
      </c>
      <c r="O17">
        <f t="shared" ref="O17:P19" si="0">K17*$O$12</f>
        <v>0.44444444444444453</v>
      </c>
      <c r="P17">
        <f t="shared" si="0"/>
        <v>0.44444444444444453</v>
      </c>
    </row>
    <row r="18" spans="1:18" x14ac:dyDescent="0.3">
      <c r="D18" t="s">
        <v>107</v>
      </c>
      <c r="H18">
        <v>0.33333333333333331</v>
      </c>
      <c r="J18">
        <v>0.11111111111111113</v>
      </c>
      <c r="K18">
        <v>0.1111111111111111</v>
      </c>
      <c r="L18">
        <v>0.1111111111111111</v>
      </c>
      <c r="N18">
        <f t="shared" ref="N18:N19" si="1">J18*$O$12</f>
        <v>0.44444444444444453</v>
      </c>
      <c r="O18">
        <f t="shared" si="0"/>
        <v>0.44444444444444442</v>
      </c>
      <c r="P18">
        <f t="shared" si="0"/>
        <v>0.44444444444444442</v>
      </c>
    </row>
    <row r="19" spans="1:18" x14ac:dyDescent="0.3">
      <c r="D19" s="13">
        <f>SUM(D17:F17)</f>
        <v>1</v>
      </c>
      <c r="H19">
        <v>0.33333333333333331</v>
      </c>
      <c r="J19">
        <v>0.11111111111111113</v>
      </c>
      <c r="K19">
        <v>0.1111111111111111</v>
      </c>
      <c r="L19">
        <v>0.1111111111111111</v>
      </c>
      <c r="N19">
        <f t="shared" si="1"/>
        <v>0.44444444444444453</v>
      </c>
      <c r="O19">
        <f t="shared" si="0"/>
        <v>0.44444444444444442</v>
      </c>
      <c r="P19">
        <f t="shared" si="0"/>
        <v>0.44444444444444442</v>
      </c>
    </row>
    <row r="21" spans="1:18" x14ac:dyDescent="0.3">
      <c r="A21" t="s">
        <v>136</v>
      </c>
    </row>
    <row r="22" spans="1:18" ht="15" thickBot="1" x14ac:dyDescent="0.35">
      <c r="A22" t="s">
        <v>137</v>
      </c>
      <c r="B22" t="s">
        <v>28</v>
      </c>
      <c r="D22" t="s">
        <v>90</v>
      </c>
      <c r="I22" t="s">
        <v>41</v>
      </c>
      <c r="J22" s="13"/>
      <c r="M22" t="s">
        <v>70</v>
      </c>
      <c r="O22" t="s">
        <v>71</v>
      </c>
      <c r="Q22" t="s">
        <v>138</v>
      </c>
      <c r="R22" s="16">
        <f>O23+O33+O43</f>
        <v>4</v>
      </c>
    </row>
    <row r="23" spans="1:18" x14ac:dyDescent="0.3">
      <c r="A23" s="14" t="s">
        <v>8</v>
      </c>
      <c r="B23" s="13">
        <v>0.5</v>
      </c>
      <c r="C23" s="13"/>
      <c r="D23" s="3">
        <v>-1</v>
      </c>
      <c r="E23" s="4">
        <v>1</v>
      </c>
      <c r="F23" s="5">
        <v>0</v>
      </c>
      <c r="G23" s="7"/>
      <c r="I23" s="3">
        <f t="array" ref="I23:J24">MMULT(D23:F24,C4:D6)</f>
        <v>4</v>
      </c>
      <c r="J23" s="5">
        <v>0</v>
      </c>
      <c r="K23" s="7"/>
      <c r="M23">
        <f>MDETERM(I23:J24)</f>
        <v>8</v>
      </c>
      <c r="O23">
        <f>M23*1/6</f>
        <v>1.3333333333333333</v>
      </c>
    </row>
    <row r="24" spans="1:18" ht="15" thickBot="1" x14ac:dyDescent="0.35">
      <c r="A24" s="14" t="s">
        <v>9</v>
      </c>
      <c r="B24" s="13">
        <v>0</v>
      </c>
      <c r="C24" s="13"/>
      <c r="D24" s="9">
        <v>-1</v>
      </c>
      <c r="E24" s="10">
        <v>0</v>
      </c>
      <c r="F24" s="11">
        <v>1</v>
      </c>
      <c r="G24" s="7"/>
      <c r="I24" s="9">
        <v>0</v>
      </c>
      <c r="J24" s="11">
        <v>2</v>
      </c>
      <c r="K24" s="7"/>
    </row>
    <row r="25" spans="1:18" x14ac:dyDescent="0.3">
      <c r="A25" s="14"/>
      <c r="B25" s="13"/>
      <c r="C25" s="13"/>
      <c r="D25" s="7"/>
      <c r="E25" s="7"/>
      <c r="F25" s="7"/>
      <c r="G25" s="7"/>
      <c r="I25" s="7"/>
      <c r="J25" s="7"/>
      <c r="K25" s="7"/>
    </row>
    <row r="27" spans="1:18" x14ac:dyDescent="0.3">
      <c r="D27" s="13" t="s">
        <v>49</v>
      </c>
      <c r="E27" s="13" t="s">
        <v>50</v>
      </c>
      <c r="F27" s="13" t="s">
        <v>51</v>
      </c>
      <c r="G27" s="13"/>
      <c r="H27" s="13" t="s">
        <v>72</v>
      </c>
      <c r="I27" s="13"/>
      <c r="J27" s="13" t="s">
        <v>73</v>
      </c>
      <c r="K27" s="13"/>
      <c r="N27" t="s">
        <v>74</v>
      </c>
    </row>
    <row r="28" spans="1:18" x14ac:dyDescent="0.3">
      <c r="D28" s="13">
        <f>1-B23-B24</f>
        <v>0.5</v>
      </c>
      <c r="E28" s="13">
        <f>B23</f>
        <v>0.5</v>
      </c>
      <c r="F28" s="13">
        <f>B24</f>
        <v>0</v>
      </c>
      <c r="G28" s="13"/>
      <c r="H28">
        <f t="array" ref="H28:H30">TRANSPOSE(D28:F28)</f>
        <v>0.5</v>
      </c>
      <c r="J28">
        <f t="array" ref="J28:L30">MMULT(H28:H30,D28:F28)</f>
        <v>0.25</v>
      </c>
      <c r="K28">
        <v>0.25</v>
      </c>
      <c r="L28">
        <v>0</v>
      </c>
      <c r="N28">
        <f>J28*$O$23</f>
        <v>0.33333333333333331</v>
      </c>
      <c r="O28">
        <f t="shared" ref="O28:P29" si="2">K28*$O$23</f>
        <v>0.33333333333333331</v>
      </c>
      <c r="P28">
        <f t="shared" si="2"/>
        <v>0</v>
      </c>
    </row>
    <row r="29" spans="1:18" x14ac:dyDescent="0.3">
      <c r="D29" t="s">
        <v>107</v>
      </c>
      <c r="H29">
        <v>0.5</v>
      </c>
      <c r="J29">
        <v>0.25</v>
      </c>
      <c r="K29">
        <v>0.25</v>
      </c>
      <c r="L29">
        <v>0</v>
      </c>
      <c r="N29">
        <f t="shared" ref="N29:N30" si="3">J29*$O$23</f>
        <v>0.33333333333333331</v>
      </c>
      <c r="O29">
        <f t="shared" si="2"/>
        <v>0.33333333333333331</v>
      </c>
      <c r="P29">
        <f t="shared" si="2"/>
        <v>0</v>
      </c>
    </row>
    <row r="30" spans="1:18" x14ac:dyDescent="0.3">
      <c r="D30" s="13">
        <f>SUM(D28:F28)</f>
        <v>1</v>
      </c>
      <c r="H30">
        <v>0</v>
      </c>
      <c r="J30">
        <v>0</v>
      </c>
      <c r="K30">
        <v>0</v>
      </c>
      <c r="L30">
        <v>0</v>
      </c>
      <c r="N30">
        <f t="shared" si="3"/>
        <v>0</v>
      </c>
      <c r="O30">
        <f t="shared" ref="O28:O30" si="4">K30*$O$12</f>
        <v>0</v>
      </c>
      <c r="P30">
        <f t="shared" ref="P28:P30" si="5">L30*$O$12</f>
        <v>0</v>
      </c>
    </row>
    <row r="32" spans="1:18" ht="15" thickBot="1" x14ac:dyDescent="0.35">
      <c r="A32" t="s">
        <v>137</v>
      </c>
      <c r="B32" t="s">
        <v>28</v>
      </c>
      <c r="D32" t="s">
        <v>90</v>
      </c>
      <c r="I32" t="s">
        <v>41</v>
      </c>
      <c r="J32" s="13"/>
      <c r="M32" t="s">
        <v>70</v>
      </c>
      <c r="O32" t="s">
        <v>71</v>
      </c>
    </row>
    <row r="33" spans="1:16" x14ac:dyDescent="0.3">
      <c r="A33" s="14" t="s">
        <v>8</v>
      </c>
      <c r="B33" s="13">
        <v>0</v>
      </c>
      <c r="C33" s="13"/>
      <c r="D33" s="3">
        <v>-1</v>
      </c>
      <c r="E33" s="4">
        <v>1</v>
      </c>
      <c r="F33" s="5">
        <v>0</v>
      </c>
      <c r="G33" s="7"/>
      <c r="I33" s="3">
        <f t="array" ref="I33:J34">MMULT(D33:F34,C4:D6)</f>
        <v>4</v>
      </c>
      <c r="J33" s="5">
        <v>0</v>
      </c>
      <c r="K33" s="7"/>
      <c r="M33">
        <f>MDETERM(I33:J34)</f>
        <v>8</v>
      </c>
      <c r="O33">
        <f>M33*1/6</f>
        <v>1.3333333333333333</v>
      </c>
    </row>
    <row r="34" spans="1:16" ht="15" thickBot="1" x14ac:dyDescent="0.35">
      <c r="A34" s="14" t="s">
        <v>9</v>
      </c>
      <c r="B34" s="13">
        <v>0.5</v>
      </c>
      <c r="C34" s="13"/>
      <c r="D34" s="9">
        <v>-1</v>
      </c>
      <c r="E34" s="10">
        <v>0</v>
      </c>
      <c r="F34" s="11">
        <v>1</v>
      </c>
      <c r="G34" s="7"/>
      <c r="I34" s="9">
        <v>0</v>
      </c>
      <c r="J34" s="11">
        <v>2</v>
      </c>
      <c r="K34" s="7"/>
    </row>
    <row r="35" spans="1:16" x14ac:dyDescent="0.3">
      <c r="A35" s="14"/>
      <c r="B35" s="13"/>
      <c r="C35" s="13"/>
      <c r="D35" s="7"/>
      <c r="E35" s="7"/>
      <c r="F35" s="7"/>
      <c r="G35" s="7"/>
      <c r="I35" s="7"/>
      <c r="J35" s="7"/>
      <c r="K35" s="7"/>
    </row>
    <row r="37" spans="1:16" x14ac:dyDescent="0.3">
      <c r="D37" s="13" t="s">
        <v>49</v>
      </c>
      <c r="E37" s="13" t="s">
        <v>50</v>
      </c>
      <c r="F37" s="13" t="s">
        <v>51</v>
      </c>
      <c r="G37" s="13"/>
      <c r="H37" s="13" t="s">
        <v>72</v>
      </c>
      <c r="I37" s="13"/>
      <c r="J37" s="13" t="s">
        <v>73</v>
      </c>
      <c r="K37" s="13"/>
      <c r="N37" t="s">
        <v>74</v>
      </c>
    </row>
    <row r="38" spans="1:16" x14ac:dyDescent="0.3">
      <c r="D38" s="13">
        <f>1-B33-B34</f>
        <v>0.5</v>
      </c>
      <c r="E38" s="13">
        <f>B33</f>
        <v>0</v>
      </c>
      <c r="F38" s="13">
        <f>B34</f>
        <v>0.5</v>
      </c>
      <c r="G38" s="13"/>
      <c r="H38">
        <f t="array" ref="H38:H40">TRANSPOSE(D38:F38)</f>
        <v>0.5</v>
      </c>
      <c r="J38">
        <f t="array" ref="J38:L40">MMULT(H38:H40,D38:F38)</f>
        <v>0.25</v>
      </c>
      <c r="K38">
        <v>0</v>
      </c>
      <c r="L38">
        <v>0.25</v>
      </c>
      <c r="N38">
        <f>J38*$O$33</f>
        <v>0.33333333333333331</v>
      </c>
      <c r="O38">
        <f t="shared" ref="O38:P40" si="6">K38*$O$33</f>
        <v>0</v>
      </c>
      <c r="P38">
        <f t="shared" si="6"/>
        <v>0.33333333333333331</v>
      </c>
    </row>
    <row r="39" spans="1:16" x14ac:dyDescent="0.3">
      <c r="D39" t="s">
        <v>107</v>
      </c>
      <c r="H39">
        <v>0</v>
      </c>
      <c r="J39">
        <v>0</v>
      </c>
      <c r="K39">
        <v>0</v>
      </c>
      <c r="L39">
        <v>0</v>
      </c>
      <c r="N39">
        <f t="shared" ref="N39:N40" si="7">J39*$O$33</f>
        <v>0</v>
      </c>
      <c r="O39">
        <f t="shared" si="6"/>
        <v>0</v>
      </c>
      <c r="P39">
        <f t="shared" si="6"/>
        <v>0</v>
      </c>
    </row>
    <row r="40" spans="1:16" x14ac:dyDescent="0.3">
      <c r="D40" s="13">
        <f>SUM(D38:F38)</f>
        <v>1</v>
      </c>
      <c r="H40">
        <v>0.5</v>
      </c>
      <c r="J40">
        <v>0.25</v>
      </c>
      <c r="K40">
        <v>0</v>
      </c>
      <c r="L40">
        <v>0.25</v>
      </c>
      <c r="N40">
        <f t="shared" si="7"/>
        <v>0.33333333333333331</v>
      </c>
      <c r="O40">
        <f t="shared" si="6"/>
        <v>0</v>
      </c>
      <c r="P40">
        <f t="shared" si="6"/>
        <v>0.33333333333333331</v>
      </c>
    </row>
    <row r="42" spans="1:16" ht="15" thickBot="1" x14ac:dyDescent="0.35">
      <c r="A42" t="s">
        <v>137</v>
      </c>
      <c r="B42" t="s">
        <v>28</v>
      </c>
      <c r="D42" t="s">
        <v>90</v>
      </c>
      <c r="I42" t="s">
        <v>41</v>
      </c>
      <c r="J42" s="13"/>
      <c r="M42" t="s">
        <v>70</v>
      </c>
      <c r="O42" t="s">
        <v>71</v>
      </c>
    </row>
    <row r="43" spans="1:16" x14ac:dyDescent="0.3">
      <c r="A43" s="14" t="s">
        <v>8</v>
      </c>
      <c r="B43" s="13">
        <v>0.5</v>
      </c>
      <c r="C43" s="13"/>
      <c r="D43" s="3">
        <v>-1</v>
      </c>
      <c r="E43" s="4">
        <v>1</v>
      </c>
      <c r="F43" s="5">
        <v>0</v>
      </c>
      <c r="G43" s="7"/>
      <c r="I43" s="3">
        <f t="array" ref="I43:J44">MMULT(D43:F44,C4:D6)</f>
        <v>4</v>
      </c>
      <c r="J43" s="5">
        <v>0</v>
      </c>
      <c r="K43" s="7"/>
      <c r="M43">
        <f>MDETERM(I43:J44)</f>
        <v>8</v>
      </c>
      <c r="O43">
        <f>M43*1/6</f>
        <v>1.3333333333333333</v>
      </c>
    </row>
    <row r="44" spans="1:16" ht="15" thickBot="1" x14ac:dyDescent="0.35">
      <c r="A44" s="14" t="s">
        <v>9</v>
      </c>
      <c r="B44" s="13">
        <v>0.5</v>
      </c>
      <c r="C44" s="13"/>
      <c r="D44" s="9">
        <v>-1</v>
      </c>
      <c r="E44" s="10">
        <v>0</v>
      </c>
      <c r="F44" s="11">
        <v>1</v>
      </c>
      <c r="G44" s="7"/>
      <c r="I44" s="9">
        <v>0</v>
      </c>
      <c r="J44" s="11">
        <v>2</v>
      </c>
      <c r="K44" s="7"/>
    </row>
    <row r="45" spans="1:16" x14ac:dyDescent="0.3">
      <c r="A45" s="14"/>
      <c r="B45" s="13"/>
      <c r="C45" s="13"/>
      <c r="D45" s="7"/>
      <c r="E45" s="7"/>
      <c r="F45" s="7"/>
      <c r="G45" s="7"/>
      <c r="I45" s="7"/>
      <c r="J45" s="7"/>
      <c r="K45" s="7"/>
    </row>
    <row r="47" spans="1:16" x14ac:dyDescent="0.3">
      <c r="D47" s="13" t="s">
        <v>49</v>
      </c>
      <c r="E47" s="13" t="s">
        <v>50</v>
      </c>
      <c r="F47" s="13" t="s">
        <v>51</v>
      </c>
      <c r="G47" s="13"/>
      <c r="H47" s="13" t="s">
        <v>72</v>
      </c>
      <c r="I47" s="13"/>
      <c r="J47" s="13" t="s">
        <v>73</v>
      </c>
      <c r="K47" s="13"/>
      <c r="N47" t="s">
        <v>74</v>
      </c>
    </row>
    <row r="48" spans="1:16" x14ac:dyDescent="0.3">
      <c r="D48" s="13">
        <f>1-B43-B44</f>
        <v>0</v>
      </c>
      <c r="E48" s="13">
        <f>B43</f>
        <v>0.5</v>
      </c>
      <c r="F48" s="13">
        <f>B44</f>
        <v>0.5</v>
      </c>
      <c r="G48" s="13"/>
      <c r="H48">
        <f t="array" ref="H48:H50">TRANSPOSE(D48:F48)</f>
        <v>0</v>
      </c>
      <c r="J48">
        <f t="array" ref="J48:L50">MMULT(H48:H50,D48:F48)</f>
        <v>0</v>
      </c>
      <c r="K48">
        <v>0</v>
      </c>
      <c r="L48">
        <v>0</v>
      </c>
      <c r="N48">
        <f>J48*$O$43</f>
        <v>0</v>
      </c>
      <c r="O48">
        <f t="shared" ref="O48:P50" si="8">K48*$O$43</f>
        <v>0</v>
      </c>
      <c r="P48">
        <f t="shared" si="8"/>
        <v>0</v>
      </c>
    </row>
    <row r="49" spans="4:23" x14ac:dyDescent="0.3">
      <c r="D49" t="s">
        <v>107</v>
      </c>
      <c r="H49">
        <v>0.5</v>
      </c>
      <c r="J49">
        <v>0</v>
      </c>
      <c r="K49">
        <v>0.25</v>
      </c>
      <c r="L49">
        <v>0.25</v>
      </c>
      <c r="N49">
        <f t="shared" ref="N49:N50" si="9">J49*$O$43</f>
        <v>0</v>
      </c>
      <c r="O49">
        <f t="shared" si="8"/>
        <v>0.33333333333333331</v>
      </c>
      <c r="P49">
        <f t="shared" si="8"/>
        <v>0.33333333333333331</v>
      </c>
    </row>
    <row r="50" spans="4:23" x14ac:dyDescent="0.3">
      <c r="D50" s="13">
        <f>SUM(D48:F48)</f>
        <v>1</v>
      </c>
      <c r="H50">
        <v>0.5</v>
      </c>
      <c r="J50">
        <v>0</v>
      </c>
      <c r="K50">
        <v>0.25</v>
      </c>
      <c r="L50">
        <v>0.25</v>
      </c>
      <c r="N50">
        <f t="shared" si="9"/>
        <v>0</v>
      </c>
      <c r="O50">
        <f>K50*$O$43</f>
        <v>0.33333333333333331</v>
      </c>
      <c r="P50">
        <f t="shared" si="8"/>
        <v>0.33333333333333331</v>
      </c>
    </row>
    <row r="52" spans="4:23" x14ac:dyDescent="0.3">
      <c r="R52" t="s">
        <v>139</v>
      </c>
      <c r="U52" t="s">
        <v>139</v>
      </c>
      <c r="W52" t="s">
        <v>145</v>
      </c>
    </row>
    <row r="53" spans="4:23" x14ac:dyDescent="0.3">
      <c r="M53" t="s">
        <v>66</v>
      </c>
      <c r="N53" s="16">
        <f>N28+N38+N48</f>
        <v>0.66666666666666663</v>
      </c>
      <c r="O53" s="16">
        <f t="shared" ref="O53:P53" si="10">O28+O38+O48</f>
        <v>0.33333333333333331</v>
      </c>
      <c r="P53" s="16">
        <f t="shared" si="10"/>
        <v>0.33333333333333331</v>
      </c>
      <c r="R53" t="s">
        <v>140</v>
      </c>
      <c r="S53">
        <f>(C4^2+D4^2)^0.5</f>
        <v>0</v>
      </c>
      <c r="U53">
        <f>(SUM(S53:S55))/3</f>
        <v>2</v>
      </c>
      <c r="W53">
        <f>2*3.14*U53</f>
        <v>12.56</v>
      </c>
    </row>
    <row r="54" spans="4:23" x14ac:dyDescent="0.3">
      <c r="N54" s="16">
        <f t="shared" ref="N54:P55" si="11">N29+N39+N49</f>
        <v>0.33333333333333331</v>
      </c>
      <c r="O54" s="16">
        <f t="shared" si="11"/>
        <v>0.66666666666666663</v>
      </c>
      <c r="P54" s="16">
        <f t="shared" si="11"/>
        <v>0.33333333333333331</v>
      </c>
      <c r="R54" t="s">
        <v>141</v>
      </c>
      <c r="S54">
        <f>(C5^2+D5^2)^0.5</f>
        <v>4</v>
      </c>
    </row>
    <row r="55" spans="4:23" x14ac:dyDescent="0.3">
      <c r="N55" s="16">
        <f t="shared" si="11"/>
        <v>0.33333333333333331</v>
      </c>
      <c r="O55" s="16">
        <f t="shared" si="11"/>
        <v>0.33333333333333331</v>
      </c>
      <c r="P55" s="16">
        <f t="shared" si="11"/>
        <v>0.66666666666666663</v>
      </c>
      <c r="R55" t="s">
        <v>142</v>
      </c>
      <c r="S55">
        <f t="shared" ref="S54:S55" si="12">(C6^2+D6^2)^0.5</f>
        <v>2</v>
      </c>
    </row>
    <row r="57" spans="4:23" x14ac:dyDescent="0.3">
      <c r="N57">
        <f>N53*$W$53</f>
        <v>8.3733333333333331</v>
      </c>
      <c r="O57">
        <f t="shared" ref="O57:P57" si="13">O53*$W$53</f>
        <v>4.1866666666666665</v>
      </c>
      <c r="P57">
        <f t="shared" si="13"/>
        <v>4.1866666666666665</v>
      </c>
      <c r="R57" t="s">
        <v>143</v>
      </c>
    </row>
    <row r="58" spans="4:23" x14ac:dyDescent="0.3">
      <c r="N58">
        <f t="shared" ref="N58:P59" si="14">N54*$W$53</f>
        <v>4.1866666666666665</v>
      </c>
      <c r="O58">
        <f t="shared" si="14"/>
        <v>8.3733333333333331</v>
      </c>
      <c r="P58">
        <f t="shared" si="14"/>
        <v>4.1866666666666665</v>
      </c>
    </row>
    <row r="59" spans="4:23" x14ac:dyDescent="0.3">
      <c r="N59">
        <f t="shared" si="14"/>
        <v>4.1866666666666665</v>
      </c>
      <c r="O59">
        <f t="shared" si="14"/>
        <v>4.1866666666666665</v>
      </c>
      <c r="P59">
        <f t="shared" si="14"/>
        <v>8.3733333333333331</v>
      </c>
    </row>
    <row r="61" spans="4:23" x14ac:dyDescent="0.3">
      <c r="N61" s="87">
        <f>N57*$U$53</f>
        <v>16.746666666666666</v>
      </c>
      <c r="O61" s="87">
        <f t="shared" ref="O61:P61" si="15">O57*$U$53</f>
        <v>8.3733333333333331</v>
      </c>
      <c r="P61" s="87">
        <f t="shared" si="15"/>
        <v>8.3733333333333331</v>
      </c>
      <c r="R61" t="s">
        <v>144</v>
      </c>
    </row>
    <row r="62" spans="4:23" x14ac:dyDescent="0.3">
      <c r="N62" s="87">
        <f t="shared" ref="N62:P63" si="16">N58*$U$53</f>
        <v>8.3733333333333331</v>
      </c>
      <c r="O62" s="87">
        <f t="shared" si="16"/>
        <v>16.746666666666666</v>
      </c>
      <c r="P62" s="87">
        <f t="shared" si="16"/>
        <v>8.3733333333333331</v>
      </c>
    </row>
    <row r="63" spans="4:23" x14ac:dyDescent="0.3">
      <c r="N63" s="87">
        <f t="shared" si="16"/>
        <v>8.3733333333333331</v>
      </c>
      <c r="O63" s="87">
        <f t="shared" si="16"/>
        <v>8.3733333333333331</v>
      </c>
      <c r="P63" s="87">
        <f t="shared" si="16"/>
        <v>16.746666666666666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план</vt:lpstr>
      <vt:lpstr>+V гексы</vt:lpstr>
      <vt:lpstr>+!V гексы через якобиан</vt:lpstr>
      <vt:lpstr>!V пенты через якобиан</vt:lpstr>
      <vt:lpstr>лок в гл и обр</vt:lpstr>
      <vt:lpstr>частн произв в гл коор для пент</vt:lpstr>
      <vt:lpstr>пример на стр 301 (частн произв</vt:lpstr>
      <vt:lpstr>+NTNdetJ для пенты</vt:lpstr>
      <vt:lpstr>+NTNdetJ для гексы</vt:lpstr>
      <vt:lpstr>+пример стр 261</vt:lpstr>
      <vt:lpstr>+V тэтраэдра, NTNdetJ</vt:lpstr>
      <vt:lpstr>треугольник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2024-11-13T12:02:59Z</dcterms:modified>
</cp:coreProperties>
</file>