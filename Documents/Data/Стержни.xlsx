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стержни" sheetId="1" r:id="rId1"/>
    <sheet name="стержни, тепло" sheetId="4" r:id="rId2"/>
  </sheets>
  <calcPr calcId="152511"/>
</workbook>
</file>

<file path=xl/calcChain.xml><?xml version="1.0" encoding="utf-8"?>
<calcChain xmlns="http://schemas.openxmlformats.org/spreadsheetml/2006/main">
  <c r="K23" i="4" l="1"/>
  <c r="L29" i="4" s="1"/>
  <c r="I21" i="4"/>
  <c r="I32" i="4" a="1"/>
  <c r="I32" i="4" s="1"/>
  <c r="K17" i="4"/>
  <c r="J17" i="4"/>
  <c r="K16" i="4"/>
  <c r="J16" i="4"/>
  <c r="I16" i="4"/>
  <c r="J15" i="4"/>
  <c r="I15" i="4"/>
  <c r="L11" i="4"/>
  <c r="M10" i="4"/>
  <c r="M11" i="4"/>
  <c r="L10" i="4"/>
  <c r="I11" i="4"/>
  <c r="J10" i="4"/>
  <c r="J11" i="4"/>
  <c r="I10" i="4"/>
  <c r="L28" i="4" l="1"/>
  <c r="L32" i="4" s="1" a="1"/>
  <c r="L32" i="4" s="1"/>
  <c r="J32" i="4"/>
  <c r="J33" i="4"/>
  <c r="I33" i="4"/>
  <c r="K12" i="1"/>
  <c r="P12" i="1"/>
  <c r="L33" i="4" l="1"/>
  <c r="AD70" i="1"/>
  <c r="AC70" i="1"/>
  <c r="AC69" i="1"/>
  <c r="AD69" i="1"/>
  <c r="AB69" i="1"/>
  <c r="AB70" i="1"/>
  <c r="AC68" i="1"/>
  <c r="AD68" i="1"/>
  <c r="AB68" i="1"/>
  <c r="N13" i="1"/>
  <c r="W67" i="1"/>
  <c r="W66" i="1"/>
  <c r="V66" i="1"/>
  <c r="W65" i="1"/>
  <c r="V65" i="1"/>
  <c r="U65" i="1"/>
  <c r="S67" i="1"/>
  <c r="R67" i="1"/>
  <c r="T67" i="1"/>
  <c r="T66" i="1"/>
  <c r="S66" i="1"/>
  <c r="R66" i="1"/>
  <c r="T65" i="1"/>
  <c r="S65" i="1"/>
  <c r="W12" i="1"/>
  <c r="AC12" i="1"/>
  <c r="R65" i="1"/>
  <c r="R30" i="1"/>
  <c r="V86" i="1" a="1"/>
  <c r="V86" i="1" s="1"/>
  <c r="AT52" i="1"/>
  <c r="BN57" i="1" a="1"/>
  <c r="BN57" i="1" s="1"/>
  <c r="BK33" i="1"/>
  <c r="BH30" i="1"/>
  <c r="AF30" i="1"/>
  <c r="AF51" i="1"/>
  <c r="Y57" i="1" a="1"/>
  <c r="Z57" i="1" s="1"/>
  <c r="R57" i="1" a="1"/>
  <c r="R57" i="1" s="1"/>
  <c r="Y43" i="1" a="1"/>
  <c r="AB43" i="1" s="1"/>
  <c r="W91" i="1" l="1"/>
  <c r="AA89" i="1"/>
  <c r="Y88" i="1"/>
  <c r="W87" i="1"/>
  <c r="Z91" i="1"/>
  <c r="X88" i="1"/>
  <c r="AA91" i="1"/>
  <c r="Y90" i="1"/>
  <c r="W89" i="1"/>
  <c r="AA87" i="1"/>
  <c r="Y86" i="1"/>
  <c r="V91" i="1"/>
  <c r="X90" i="1"/>
  <c r="Z89" i="1"/>
  <c r="V89" i="1"/>
  <c r="Z87" i="1"/>
  <c r="V87" i="1"/>
  <c r="X86" i="1"/>
  <c r="Y91" i="1"/>
  <c r="AA90" i="1"/>
  <c r="W90" i="1"/>
  <c r="Y89" i="1"/>
  <c r="AA88" i="1"/>
  <c r="W88" i="1"/>
  <c r="Y87" i="1"/>
  <c r="AA86" i="1"/>
  <c r="W86" i="1"/>
  <c r="X91" i="1"/>
  <c r="Z90" i="1"/>
  <c r="V90" i="1"/>
  <c r="X89" i="1"/>
  <c r="Z88" i="1"/>
  <c r="V88" i="1"/>
  <c r="X87" i="1"/>
  <c r="Z86" i="1"/>
  <c r="BN60" i="1"/>
  <c r="BN59" i="1"/>
  <c r="BN62" i="1"/>
  <c r="BN58" i="1"/>
  <c r="BN61" i="1"/>
  <c r="AA62" i="1"/>
  <c r="AC61" i="1"/>
  <c r="Y61" i="1"/>
  <c r="AA60" i="1"/>
  <c r="AC59" i="1"/>
  <c r="Y59" i="1"/>
  <c r="AA58" i="1"/>
  <c r="AC57" i="1"/>
  <c r="Y57" i="1"/>
  <c r="AD62" i="1"/>
  <c r="Z62" i="1"/>
  <c r="AB61" i="1"/>
  <c r="AD60" i="1"/>
  <c r="Z60" i="1"/>
  <c r="AB59" i="1"/>
  <c r="AD58" i="1"/>
  <c r="Z58" i="1"/>
  <c r="AB57" i="1"/>
  <c r="AC62" i="1"/>
  <c r="Y62" i="1"/>
  <c r="AA61" i="1"/>
  <c r="AC60" i="1"/>
  <c r="Y60" i="1"/>
  <c r="AA59" i="1"/>
  <c r="AC58" i="1"/>
  <c r="Y58" i="1"/>
  <c r="AA57" i="1"/>
  <c r="AB62" i="1"/>
  <c r="AD61" i="1"/>
  <c r="Z61" i="1"/>
  <c r="AB60" i="1"/>
  <c r="AD59" i="1"/>
  <c r="Z59" i="1"/>
  <c r="AB58" i="1"/>
  <c r="AD57" i="1"/>
  <c r="W62" i="1"/>
  <c r="S62" i="1"/>
  <c r="U61" i="1"/>
  <c r="W60" i="1"/>
  <c r="S60" i="1"/>
  <c r="U59" i="1"/>
  <c r="W58" i="1"/>
  <c r="S58" i="1"/>
  <c r="U57" i="1"/>
  <c r="V62" i="1"/>
  <c r="R62" i="1"/>
  <c r="T61" i="1"/>
  <c r="V60" i="1"/>
  <c r="R60" i="1"/>
  <c r="T59" i="1"/>
  <c r="V58" i="1"/>
  <c r="R58" i="1"/>
  <c r="T57" i="1"/>
  <c r="U62" i="1"/>
  <c r="W61" i="1"/>
  <c r="S61" i="1"/>
  <c r="U60" i="1"/>
  <c r="W59" i="1"/>
  <c r="S59" i="1"/>
  <c r="U58" i="1"/>
  <c r="W57" i="1"/>
  <c r="S57" i="1"/>
  <c r="T62" i="1"/>
  <c r="V61" i="1"/>
  <c r="R61" i="1"/>
  <c r="T60" i="1"/>
  <c r="V59" i="1"/>
  <c r="R59" i="1"/>
  <c r="T58" i="1"/>
  <c r="V57" i="1"/>
  <c r="AC48" i="1"/>
  <c r="Y48" i="1"/>
  <c r="AA47" i="1"/>
  <c r="AC46" i="1"/>
  <c r="Y46" i="1"/>
  <c r="AA45" i="1"/>
  <c r="AC44" i="1"/>
  <c r="Y44" i="1"/>
  <c r="AA43" i="1"/>
  <c r="AB48" i="1"/>
  <c r="AD47" i="1"/>
  <c r="Z47" i="1"/>
  <c r="AB46" i="1"/>
  <c r="AD45" i="1"/>
  <c r="Z45" i="1"/>
  <c r="AB44" i="1"/>
  <c r="AD43" i="1"/>
  <c r="Z43" i="1"/>
  <c r="AA48" i="1"/>
  <c r="AC47" i="1"/>
  <c r="Y47" i="1"/>
  <c r="AA46" i="1"/>
  <c r="AC45" i="1"/>
  <c r="Y45" i="1"/>
  <c r="AA44" i="1"/>
  <c r="AC43" i="1"/>
  <c r="Y43" i="1"/>
  <c r="AD48" i="1"/>
  <c r="Z48" i="1"/>
  <c r="AB47" i="1"/>
  <c r="AD46" i="1"/>
  <c r="Z46" i="1"/>
  <c r="AB45" i="1"/>
  <c r="AD44" i="1"/>
  <c r="Z44" i="1"/>
  <c r="M7" i="1" l="1"/>
  <c r="X13" i="1" l="1"/>
  <c r="AC13" i="1"/>
  <c r="AC14" i="1"/>
  <c r="AC15" i="1"/>
  <c r="AB14" i="1"/>
  <c r="X14" i="1"/>
  <c r="X15" i="1"/>
  <c r="X12" i="1"/>
  <c r="AB13" i="1"/>
  <c r="AB15" i="1"/>
  <c r="AB12" i="1"/>
  <c r="W13" i="1"/>
  <c r="W14" i="1"/>
  <c r="W15" i="1"/>
  <c r="AA13" i="1"/>
  <c r="AA14" i="1"/>
  <c r="AA15" i="1"/>
  <c r="AA12" i="1"/>
  <c r="V13" i="1"/>
  <c r="V14" i="1"/>
  <c r="V15" i="1"/>
  <c r="V12" i="1"/>
  <c r="U46" i="1"/>
  <c r="R43" i="1"/>
  <c r="S13" i="1"/>
  <c r="S14" i="1"/>
  <c r="S15" i="1"/>
  <c r="BJ53" i="1" s="1"/>
  <c r="S12" i="1"/>
  <c r="R13" i="1"/>
  <c r="AH51" i="1" s="1"/>
  <c r="R14" i="1"/>
  <c r="R15" i="1"/>
  <c r="R12" i="1"/>
  <c r="S53" i="1" s="1"/>
  <c r="V48" i="1" s="1"/>
  <c r="Q13" i="1"/>
  <c r="Q14" i="1"/>
  <c r="AT53" i="1" s="1"/>
  <c r="Q15" i="1"/>
  <c r="Q12" i="1"/>
  <c r="S52" i="1" s="1"/>
  <c r="P13" i="1"/>
  <c r="P14" i="1"/>
  <c r="P15" i="1"/>
  <c r="BI51" i="1" s="1"/>
  <c r="AU53" i="1"/>
  <c r="AX48" i="1" s="1"/>
  <c r="BJ51" i="1"/>
  <c r="BJ43" i="1" s="1"/>
  <c r="BI53" i="1"/>
  <c r="BL48" i="1" s="1"/>
  <c r="BI52" i="1"/>
  <c r="BI44" i="1" s="1"/>
  <c r="BH53" i="1"/>
  <c r="BK48" i="1" s="1"/>
  <c r="BH52" i="1"/>
  <c r="BH51" i="1"/>
  <c r="BK46" i="1" s="1"/>
  <c r="AV53" i="1"/>
  <c r="AY48" i="1" s="1"/>
  <c r="AV51" i="1"/>
  <c r="AV43" i="1" s="1"/>
  <c r="AU52" i="1"/>
  <c r="AX47" i="1" s="1"/>
  <c r="AU51" i="1"/>
  <c r="AX46" i="1" s="1"/>
  <c r="AH53" i="1"/>
  <c r="AH45" i="1" s="1"/>
  <c r="AG52" i="1"/>
  <c r="AG51" i="1"/>
  <c r="AJ46" i="1" s="1"/>
  <c r="AF52" i="1"/>
  <c r="AI46" i="1"/>
  <c r="T53" i="1"/>
  <c r="S51" i="1"/>
  <c r="V46" i="1" s="1"/>
  <c r="R52" i="1"/>
  <c r="U47" i="1" s="1"/>
  <c r="R51" i="1"/>
  <c r="T52" i="1"/>
  <c r="BK30" i="1"/>
  <c r="BH33" i="1"/>
  <c r="AW33" i="1"/>
  <c r="AW30" i="1"/>
  <c r="AT33" i="1"/>
  <c r="AT30" i="1"/>
  <c r="AH52" i="1"/>
  <c r="AI33" i="1"/>
  <c r="AI30" i="1"/>
  <c r="AF33" i="1"/>
  <c r="BK47" i="1"/>
  <c r="BM47" i="1"/>
  <c r="BL47" i="1"/>
  <c r="BJ44" i="1"/>
  <c r="AY47" i="1"/>
  <c r="AV44" i="1"/>
  <c r="AK47" i="1"/>
  <c r="AI47" i="1"/>
  <c r="AJ47" i="1"/>
  <c r="AH44" i="1"/>
  <c r="AG44" i="1"/>
  <c r="AG43" i="1"/>
  <c r="U33" i="1"/>
  <c r="U30" i="1"/>
  <c r="R33" i="1"/>
  <c r="W47" i="1"/>
  <c r="W48" i="1"/>
  <c r="T44" i="1"/>
  <c r="T45" i="1"/>
  <c r="BM48" i="1" l="1"/>
  <c r="BJ45" i="1"/>
  <c r="AK48" i="1"/>
  <c r="AV45" i="1"/>
  <c r="AH43" i="1"/>
  <c r="AK46" i="1"/>
  <c r="AG53" i="1"/>
  <c r="AJ48" i="1" s="1"/>
  <c r="AF53" i="1"/>
  <c r="AF45" i="1" s="1"/>
  <c r="T51" i="1"/>
  <c r="R53" i="1"/>
  <c r="U48" i="1" s="1"/>
  <c r="AT45" i="1"/>
  <c r="AW48" i="1"/>
  <c r="AT51" i="1"/>
  <c r="AF43" i="1"/>
  <c r="AU44" i="1"/>
  <c r="S44" i="1"/>
  <c r="V47" i="1"/>
  <c r="BL46" i="1"/>
  <c r="BI43" i="1"/>
  <c r="S45" i="1"/>
  <c r="S43" i="1"/>
  <c r="BH43" i="1"/>
  <c r="R45" i="1"/>
  <c r="BM46" i="1"/>
  <c r="AU43" i="1"/>
  <c r="BH45" i="1"/>
  <c r="AY46" i="1"/>
  <c r="AW47" i="1"/>
  <c r="R44" i="1"/>
  <c r="BH44" i="1"/>
  <c r="BI45" i="1"/>
  <c r="AT44" i="1"/>
  <c r="AU45" i="1"/>
  <c r="AF44" i="1"/>
  <c r="AG45" i="1"/>
  <c r="O13" i="1"/>
  <c r="O14" i="1"/>
  <c r="O15" i="1"/>
  <c r="O12" i="1"/>
  <c r="N15" i="1"/>
  <c r="L15" i="1"/>
  <c r="M15" i="1"/>
  <c r="K15" i="1"/>
  <c r="L14" i="1"/>
  <c r="M14" i="1"/>
  <c r="K14" i="1"/>
  <c r="N14" i="1" s="1"/>
  <c r="L13" i="1"/>
  <c r="M13" i="1"/>
  <c r="K13" i="1"/>
  <c r="L12" i="1"/>
  <c r="M12" i="1"/>
  <c r="N12" i="1"/>
  <c r="M6" i="1"/>
  <c r="S4" i="1"/>
  <c r="S3" i="1"/>
  <c r="Q3" i="1"/>
  <c r="L8" i="1"/>
  <c r="AI48" i="1" l="1"/>
  <c r="W46" i="1"/>
  <c r="T43" i="1"/>
  <c r="AW46" i="1"/>
  <c r="BA43" i="1" s="1" a="1"/>
  <c r="BF47" i="1" s="1"/>
  <c r="AT43" i="1"/>
  <c r="BO43" i="1" a="1"/>
  <c r="BR46" i="1" s="1"/>
  <c r="AM43" i="1" a="1"/>
  <c r="AP48" i="1" s="1"/>
  <c r="BE48" i="1" l="1"/>
  <c r="BD45" i="1"/>
  <c r="BB48" i="1"/>
  <c r="BA43" i="1"/>
  <c r="BE45" i="1"/>
  <c r="BC48" i="1"/>
  <c r="BB43" i="1"/>
  <c r="BF45" i="1"/>
  <c r="BD48" i="1"/>
  <c r="BC43" i="1"/>
  <c r="BD43" i="1"/>
  <c r="BB46" i="1"/>
  <c r="BF48" i="1"/>
  <c r="BE43" i="1"/>
  <c r="BC46" i="1"/>
  <c r="BE44" i="1"/>
  <c r="BF43" i="1"/>
  <c r="BD46" i="1"/>
  <c r="BC45" i="1"/>
  <c r="BB44" i="1"/>
  <c r="BF46" i="1"/>
  <c r="BA44" i="1"/>
  <c r="BC44" i="1"/>
  <c r="BA47" i="1"/>
  <c r="BA46" i="1"/>
  <c r="BD44" i="1"/>
  <c r="BB47" i="1"/>
  <c r="BC47" i="1"/>
  <c r="BF44" i="1"/>
  <c r="BD47" i="1"/>
  <c r="BE46" i="1"/>
  <c r="BA45" i="1"/>
  <c r="BE47" i="1"/>
  <c r="BA48" i="1"/>
  <c r="BB45" i="1"/>
  <c r="BS48" i="1"/>
  <c r="BR45" i="1"/>
  <c r="BO44" i="1"/>
  <c r="BQ44" i="1"/>
  <c r="BS47" i="1"/>
  <c r="BQ47" i="1"/>
  <c r="BT45" i="1"/>
  <c r="BS44" i="1"/>
  <c r="BR43" i="1"/>
  <c r="BT46" i="1"/>
  <c r="BS46" i="1"/>
  <c r="BO45" i="1"/>
  <c r="BQ48" i="1"/>
  <c r="BP43" i="1"/>
  <c r="BP47" i="1"/>
  <c r="BO46" i="1"/>
  <c r="BP44" i="1"/>
  <c r="BR47" i="1"/>
  <c r="BO43" i="1"/>
  <c r="BS45" i="1"/>
  <c r="BQ43" i="1"/>
  <c r="BR44" i="1"/>
  <c r="BT47" i="1"/>
  <c r="BO48" i="1"/>
  <c r="BT44" i="1"/>
  <c r="BP48" i="1"/>
  <c r="BS43" i="1"/>
  <c r="BO47" i="1"/>
  <c r="BQ45" i="1"/>
  <c r="BP45" i="1"/>
  <c r="BR48" i="1"/>
  <c r="BP46" i="1"/>
  <c r="BT48" i="1"/>
  <c r="BQ46" i="1"/>
  <c r="BT43" i="1"/>
  <c r="AO43" i="1"/>
  <c r="AP45" i="1"/>
  <c r="AQ46" i="1"/>
  <c r="AQ45" i="1"/>
  <c r="AM44" i="1"/>
  <c r="AP44" i="1"/>
  <c r="AO47" i="1"/>
  <c r="AN46" i="1"/>
  <c r="AM43" i="1"/>
  <c r="AO46" i="1"/>
  <c r="AM46" i="1"/>
  <c r="AN45" i="1"/>
  <c r="AP43" i="1"/>
  <c r="AP47" i="1"/>
  <c r="AQ43" i="1"/>
  <c r="AQ47" i="1"/>
  <c r="AM48" i="1"/>
  <c r="AP46" i="1"/>
  <c r="AR44" i="1"/>
  <c r="AN48" i="1"/>
  <c r="AM45" i="1"/>
  <c r="AO48" i="1"/>
  <c r="AR43" i="1"/>
  <c r="AN47" i="1"/>
  <c r="AR48" i="1"/>
  <c r="AQ48" i="1"/>
  <c r="AR47" i="1"/>
  <c r="AN44" i="1"/>
  <c r="AR46" i="1"/>
  <c r="AQ44" i="1"/>
  <c r="AO44" i="1"/>
  <c r="AM47" i="1"/>
  <c r="AO45" i="1"/>
  <c r="AN43" i="1"/>
  <c r="AR45" i="1"/>
  <c r="AT57" i="1" l="1" a="1"/>
  <c r="AX61" i="1" s="1"/>
  <c r="BH57" i="1" a="1"/>
  <c r="BJ62" i="1" s="1"/>
  <c r="AF57" i="1" a="1"/>
  <c r="AH62" i="1" s="1"/>
  <c r="AV62" i="1"/>
  <c r="AX57" i="1"/>
  <c r="AT57" i="1"/>
  <c r="AY60" i="1"/>
  <c r="AU60" i="1"/>
  <c r="AU59" i="1"/>
  <c r="AX62" i="1"/>
  <c r="AT58" i="1"/>
  <c r="AV57" i="1"/>
  <c r="AT60" i="1" l="1"/>
  <c r="AW57" i="1"/>
  <c r="AY62" i="1"/>
  <c r="AX59" i="1"/>
  <c r="AU57" i="1"/>
  <c r="AX60" i="1"/>
  <c r="AU58" i="1"/>
  <c r="AY57" i="1"/>
  <c r="BA57" i="1" s="1" a="1"/>
  <c r="BB62" i="1" s="1"/>
  <c r="AV60" i="1"/>
  <c r="AW58" i="1"/>
  <c r="AX58" i="1"/>
  <c r="AV61" i="1"/>
  <c r="AW60" i="1"/>
  <c r="AY58" i="1"/>
  <c r="AW61" i="1"/>
  <c r="AY59" i="1"/>
  <c r="AV58" i="1"/>
  <c r="AT61" i="1"/>
  <c r="AU61" i="1"/>
  <c r="AV59" i="1"/>
  <c r="AT62" i="1"/>
  <c r="AY61" i="1"/>
  <c r="AW59" i="1"/>
  <c r="AU62" i="1"/>
  <c r="AW62" i="1"/>
  <c r="AT59" i="1"/>
  <c r="BH58" i="1"/>
  <c r="BH60" i="1"/>
  <c r="BI60" i="1"/>
  <c r="BH61" i="1"/>
  <c r="BI58" i="1"/>
  <c r="BH59" i="1"/>
  <c r="BK59" i="1"/>
  <c r="BH62" i="1"/>
  <c r="BK58" i="1"/>
  <c r="BM61" i="1"/>
  <c r="BL60" i="1"/>
  <c r="BM62" i="1"/>
  <c r="BL58" i="1"/>
  <c r="BM60" i="1"/>
  <c r="BL61" i="1"/>
  <c r="BM59" i="1"/>
  <c r="BK60" i="1"/>
  <c r="BH57" i="1"/>
  <c r="BI62" i="1"/>
  <c r="BM57" i="1"/>
  <c r="BI61" i="1"/>
  <c r="BJ61" i="1"/>
  <c r="BI57" i="1"/>
  <c r="BJ57" i="1"/>
  <c r="BJ60" i="1"/>
  <c r="BM58" i="1"/>
  <c r="BL59" i="1"/>
  <c r="BL57" i="1"/>
  <c r="BK57" i="1"/>
  <c r="BJ58" i="1"/>
  <c r="BI59" i="1"/>
  <c r="BK62" i="1"/>
  <c r="BL62" i="1"/>
  <c r="BJ59" i="1"/>
  <c r="BK61" i="1"/>
  <c r="AK59" i="1"/>
  <c r="AH59" i="1"/>
  <c r="AF62" i="1"/>
  <c r="AG61" i="1"/>
  <c r="AK58" i="1"/>
  <c r="AI61" i="1"/>
  <c r="AG59" i="1"/>
  <c r="AJ57" i="1"/>
  <c r="AH60" i="1"/>
  <c r="AH57" i="1"/>
  <c r="AF60" i="1"/>
  <c r="AJ62" i="1"/>
  <c r="AK61" i="1"/>
  <c r="AI59" i="1"/>
  <c r="AG62" i="1"/>
  <c r="AI60" i="1"/>
  <c r="AH58" i="1"/>
  <c r="AF61" i="1"/>
  <c r="AF58" i="1"/>
  <c r="AJ60" i="1"/>
  <c r="AG57" i="1"/>
  <c r="AI57" i="1"/>
  <c r="AG60" i="1"/>
  <c r="AK62" i="1"/>
  <c r="AI62" i="1"/>
  <c r="AF59" i="1"/>
  <c r="AJ61" i="1"/>
  <c r="AJ58" i="1"/>
  <c r="AH61" i="1"/>
  <c r="AI58" i="1"/>
  <c r="AG58" i="1"/>
  <c r="AK60" i="1"/>
  <c r="AK57" i="1"/>
  <c r="AF57" i="1"/>
  <c r="AJ59" i="1"/>
  <c r="BO57" i="1" l="1" a="1"/>
  <c r="BT60" i="1" s="1"/>
  <c r="AM57" i="1" a="1"/>
  <c r="AR62" i="1" s="1"/>
  <c r="BF57" i="1"/>
  <c r="BD60" i="1"/>
  <c r="BA57" i="1"/>
  <c r="BE61" i="1"/>
  <c r="BC59" i="1"/>
  <c r="BA62" i="1"/>
  <c r="BD57" i="1"/>
  <c r="BB60" i="1"/>
  <c r="BF62" i="1"/>
  <c r="BE57" i="1"/>
  <c r="BD58" i="1"/>
  <c r="BB61" i="1"/>
  <c r="BC58" i="1"/>
  <c r="BC57" i="1"/>
  <c r="BA60" i="1"/>
  <c r="BE62" i="1"/>
  <c r="BB58" i="1"/>
  <c r="BF60" i="1"/>
  <c r="BA61" i="1"/>
  <c r="BB59" i="1"/>
  <c r="BF61" i="1"/>
  <c r="BE59" i="1"/>
  <c r="BA58" i="1"/>
  <c r="BE60" i="1"/>
  <c r="BA59" i="1"/>
  <c r="BF58" i="1"/>
  <c r="BD61" i="1"/>
  <c r="BB57" i="1"/>
  <c r="BF59" i="1"/>
  <c r="BD62" i="1"/>
  <c r="BC60" i="1"/>
  <c r="BE58" i="1"/>
  <c r="BC61" i="1"/>
  <c r="BC62" i="1"/>
  <c r="BD59" i="1"/>
  <c r="BR57" i="1" l="1"/>
  <c r="BO60" i="1"/>
  <c r="BR60" i="1"/>
  <c r="BS57" i="1"/>
  <c r="BT59" i="1"/>
  <c r="BP60" i="1"/>
  <c r="BT58" i="1"/>
  <c r="BS62" i="1"/>
  <c r="BQ62" i="1"/>
  <c r="BS59" i="1"/>
  <c r="BR61" i="1"/>
  <c r="BR58" i="1"/>
  <c r="BS61" i="1"/>
  <c r="BR59" i="1"/>
  <c r="BS58" i="1"/>
  <c r="BT61" i="1"/>
  <c r="AO57" i="1"/>
  <c r="AO61" i="1"/>
  <c r="AP57" i="1"/>
  <c r="AP61" i="1"/>
  <c r="AR59" i="1"/>
  <c r="BR62" i="1"/>
  <c r="AQ59" i="1"/>
  <c r="AO59" i="1"/>
  <c r="BS60" i="1"/>
  <c r="BQ59" i="1"/>
  <c r="BQ61" i="1"/>
  <c r="BO59" i="1"/>
  <c r="BO58" i="1"/>
  <c r="BP62" i="1"/>
  <c r="BQ60" i="1"/>
  <c r="BQ58" i="1"/>
  <c r="BQ57" i="1"/>
  <c r="AP59" i="1"/>
  <c r="AR57" i="1"/>
  <c r="BP61" i="1"/>
  <c r="BP57" i="1"/>
  <c r="BO61" i="1"/>
  <c r="BO62" i="1"/>
  <c r="BT57" i="1"/>
  <c r="BT62" i="1"/>
  <c r="BO57" i="1"/>
  <c r="BP59" i="1"/>
  <c r="BP58" i="1"/>
  <c r="AQ57" i="1"/>
  <c r="AR61" i="1"/>
  <c r="AO62" i="1"/>
  <c r="AO58" i="1"/>
  <c r="AR58" i="1"/>
  <c r="AQ61" i="1"/>
  <c r="AR60" i="1"/>
  <c r="AQ58" i="1"/>
  <c r="AN57" i="1"/>
  <c r="AQ60" i="1"/>
  <c r="AN59" i="1"/>
  <c r="AQ62" i="1"/>
  <c r="AN61" i="1"/>
  <c r="AO60" i="1"/>
  <c r="AM57" i="1"/>
  <c r="AN58" i="1"/>
  <c r="AM61" i="1"/>
  <c r="AN60" i="1"/>
  <c r="AM58" i="1"/>
  <c r="AN62" i="1"/>
  <c r="AM60" i="1"/>
  <c r="AP58" i="1"/>
  <c r="AM62" i="1"/>
  <c r="AP60" i="1"/>
  <c r="AM59" i="1"/>
  <c r="AP62" i="1"/>
  <c r="AB72" i="1" l="1"/>
  <c r="AJ68" i="1" a="1"/>
  <c r="AJ68" i="1" l="1"/>
  <c r="AJ69" i="1"/>
  <c r="AK68" i="1"/>
  <c r="AJ70" i="1"/>
  <c r="AL70" i="1"/>
  <c r="AL68" i="1"/>
  <c r="AK69" i="1"/>
  <c r="AK70" i="1"/>
  <c r="AL69" i="1"/>
  <c r="AF68" i="1" l="1" a="1"/>
  <c r="AF68" i="1" l="1"/>
  <c r="AF69" i="1"/>
  <c r="AF70" i="1"/>
  <c r="AC86" i="1" l="1" a="1"/>
  <c r="AC86" i="1" l="1"/>
  <c r="AC87" i="1"/>
  <c r="AC88" i="1"/>
  <c r="AC89" i="1"/>
  <c r="AC90" i="1"/>
  <c r="AC91" i="1"/>
</calcChain>
</file>

<file path=xl/sharedStrings.xml><?xml version="1.0" encoding="utf-8"?>
<sst xmlns="http://schemas.openxmlformats.org/spreadsheetml/2006/main" count="96" uniqueCount="80">
  <si>
    <t xml:space="preserve">Игнатюк </t>
  </si>
  <si>
    <t>стр 114</t>
  </si>
  <si>
    <t>узлы</t>
  </si>
  <si>
    <t>x</t>
  </si>
  <si>
    <t>y</t>
  </si>
  <si>
    <t>z</t>
  </si>
  <si>
    <t>sin</t>
  </si>
  <si>
    <t>в радианах</t>
  </si>
  <si>
    <t>в градусах</t>
  </si>
  <si>
    <t>tg</t>
  </si>
  <si>
    <t>числа из примера</t>
  </si>
  <si>
    <t>элементы</t>
  </si>
  <si>
    <t>1-5</t>
  </si>
  <si>
    <t>2-5</t>
  </si>
  <si>
    <t>3-5</t>
  </si>
  <si>
    <t>4-5</t>
  </si>
  <si>
    <t xml:space="preserve">найдем углы </t>
  </si>
  <si>
    <t>l</t>
  </si>
  <si>
    <t>lxy</t>
  </si>
  <si>
    <t>lx</t>
  </si>
  <si>
    <t>ly</t>
  </si>
  <si>
    <t>lz</t>
  </si>
  <si>
    <t>матрица жесткости КЭ в местной СК</t>
  </si>
  <si>
    <t>матрица жесткости КЭ в общей СК</t>
  </si>
  <si>
    <t>матрица преобразования координат</t>
  </si>
  <si>
    <t xml:space="preserve"> </t>
  </si>
  <si>
    <t>k</t>
  </si>
  <si>
    <t xml:space="preserve">1 элемент </t>
  </si>
  <si>
    <t>Ta</t>
  </si>
  <si>
    <t>TaT</t>
  </si>
  <si>
    <t>K э 1</t>
  </si>
  <si>
    <t>K' 1</t>
  </si>
  <si>
    <t>K' 2</t>
  </si>
  <si>
    <t xml:space="preserve">2 элемент </t>
  </si>
  <si>
    <t>K э 2</t>
  </si>
  <si>
    <t>K' 3</t>
  </si>
  <si>
    <t xml:space="preserve">3 элемент </t>
  </si>
  <si>
    <t>K э 3</t>
  </si>
  <si>
    <t>K' 4</t>
  </si>
  <si>
    <t xml:space="preserve">4 элемент </t>
  </si>
  <si>
    <t>K э 4</t>
  </si>
  <si>
    <t>проверка по стр 115</t>
  </si>
  <si>
    <t>2*</t>
  </si>
  <si>
    <t>рад</t>
  </si>
  <si>
    <t>k-1</t>
  </si>
  <si>
    <t>для 1 элемента</t>
  </si>
  <si>
    <t>реакция по концам стрежней</t>
  </si>
  <si>
    <t>P</t>
  </si>
  <si>
    <t>A</t>
  </si>
  <si>
    <t>F</t>
  </si>
  <si>
    <t>T</t>
  </si>
  <si>
    <t>без EA</t>
  </si>
  <si>
    <t>TaT*K'</t>
  </si>
  <si>
    <t>вопрос: что будет для теплового случая, тут механика</t>
  </si>
  <si>
    <t>опред</t>
  </si>
  <si>
    <t>двойка из-за длины элемента</t>
  </si>
  <si>
    <t>попробуем матрицу собрать через косинусы (должно быть тоже самое)</t>
  </si>
  <si>
    <t>sin 2 угла</t>
  </si>
  <si>
    <t>то, что у Игнатюка на стр 115</t>
  </si>
  <si>
    <t>я проверила вручную, у него ошибка при расчете по формуле 4,15 на стр 115 (зачем-то добавлены множители 3^(0,5), 2 и 2,5</t>
  </si>
  <si>
    <t>деалем скидку на то, что перемещения у нас другие, чем у Игнатюка</t>
  </si>
  <si>
    <t>https://www.perplexity.ai/search/mozhno-li-opisyvat-tonkie-plas-28QpvwxjSAGjOVNQNSZrGA?11=d#24</t>
  </si>
  <si>
    <t>L</t>
  </si>
  <si>
    <t>K1</t>
  </si>
  <si>
    <t>q</t>
  </si>
  <si>
    <t>h</t>
  </si>
  <si>
    <t>Tср</t>
  </si>
  <si>
    <t>Вт</t>
  </si>
  <si>
    <t>K2</t>
  </si>
  <si>
    <t>K global</t>
  </si>
  <si>
    <t>?</t>
  </si>
  <si>
    <t>F1</t>
  </si>
  <si>
    <t>F2</t>
  </si>
  <si>
    <t>F3</t>
  </si>
  <si>
    <t>T1</t>
  </si>
  <si>
    <t>T2</t>
  </si>
  <si>
    <t>T3</t>
  </si>
  <si>
    <t>K'</t>
  </si>
  <si>
    <t>K'-1</t>
  </si>
  <si>
    <t>F с уточнением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</si>
</sst>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5" borderId="0" xfId="0" applyFill="1"/>
    <xf numFmtId="0" fontId="0" fillId="5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4" borderId="0" xfId="0" applyFill="1" applyBorder="1"/>
    <xf numFmtId="0" fontId="0" fillId="0" borderId="18" xfId="0" applyBorder="1"/>
    <xf numFmtId="0" fontId="0" fillId="0" borderId="9" xfId="0" applyBorder="1"/>
    <xf numFmtId="0" fontId="0" fillId="2" borderId="14" xfId="0" applyFill="1" applyBorder="1"/>
    <xf numFmtId="0" fontId="0" fillId="2" borderId="12" xfId="0" applyFill="1" applyBorder="1"/>
    <xf numFmtId="0" fontId="0" fillId="2" borderId="16" xfId="0" applyFill="1" applyBorder="1"/>
    <xf numFmtId="0" fontId="1" fillId="0" borderId="0" xfId="0" applyFont="1"/>
    <xf numFmtId="0" fontId="2" fillId="0" borderId="0" xfId="0" applyFont="1"/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166" fontId="0" fillId="5" borderId="14" xfId="0" applyNumberFormat="1" applyFill="1" applyBorder="1"/>
    <xf numFmtId="166" fontId="0" fillId="5" borderId="2" xfId="0" applyNumberFormat="1" applyFill="1" applyBorder="1"/>
    <xf numFmtId="166" fontId="0" fillId="5" borderId="3" xfId="0" applyNumberFormat="1" applyFill="1" applyBorder="1"/>
    <xf numFmtId="166" fontId="0" fillId="5" borderId="12" xfId="0" applyNumberFormat="1" applyFill="1" applyBorder="1"/>
    <xf numFmtId="166" fontId="0" fillId="5" borderId="0" xfId="0" applyNumberFormat="1" applyFill="1" applyBorder="1"/>
    <xf numFmtId="166" fontId="0" fillId="5" borderId="5" xfId="0" applyNumberFormat="1" applyFill="1" applyBorder="1"/>
    <xf numFmtId="166" fontId="0" fillId="5" borderId="16" xfId="0" applyNumberFormat="1" applyFill="1" applyBorder="1"/>
    <xf numFmtId="166" fontId="0" fillId="5" borderId="7" xfId="0" applyNumberFormat="1" applyFill="1" applyBorder="1"/>
    <xf numFmtId="166" fontId="0" fillId="5" borderId="8" xfId="0" applyNumberFormat="1" applyFill="1" applyBorder="1"/>
    <xf numFmtId="0" fontId="0" fillId="0" borderId="0" xfId="0" applyFill="1" applyBorder="1"/>
    <xf numFmtId="0" fontId="0" fillId="7" borderId="2" xfId="0" applyFill="1" applyBorder="1"/>
    <xf numFmtId="0" fontId="0" fillId="8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0" borderId="19" xfId="0" applyBorder="1"/>
    <xf numFmtId="0" fontId="0" fillId="0" borderId="21" xfId="0" applyBorder="1"/>
    <xf numFmtId="0" fontId="0" fillId="0" borderId="20" xfId="0" applyBorder="1"/>
    <xf numFmtId="0" fontId="0" fillId="8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tmp"/><Relationship Id="rId2" Type="http://schemas.openxmlformats.org/officeDocument/2006/relationships/image" Target="../media/image21.tmp"/><Relationship Id="rId1" Type="http://schemas.openxmlformats.org/officeDocument/2006/relationships/image" Target="../media/image20.tmp"/><Relationship Id="rId6" Type="http://schemas.openxmlformats.org/officeDocument/2006/relationships/image" Target="../media/image25.tmp"/><Relationship Id="rId5" Type="http://schemas.openxmlformats.org/officeDocument/2006/relationships/image" Target="../media/image24.tmp"/><Relationship Id="rId4" Type="http://schemas.openxmlformats.org/officeDocument/2006/relationships/image" Target="../media/image2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3</xdr:row>
      <xdr:rowOff>28885</xdr:rowOff>
    </xdr:from>
    <xdr:to>
      <xdr:col>7</xdr:col>
      <xdr:colOff>114300</xdr:colOff>
      <xdr:row>16</xdr:row>
      <xdr:rowOff>68951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577525"/>
          <a:ext cx="3733799" cy="2417506"/>
        </a:xfrm>
        <a:prstGeom prst="rect">
          <a:avLst/>
        </a:prstGeom>
      </xdr:spPr>
    </xdr:pic>
    <xdr:clientData/>
  </xdr:twoCellAnchor>
  <xdr:twoCellAnchor editAs="oneCell">
    <xdr:from>
      <xdr:col>1</xdr:col>
      <xdr:colOff>53341</xdr:colOff>
      <xdr:row>16</xdr:row>
      <xdr:rowOff>114300</xdr:rowOff>
    </xdr:from>
    <xdr:to>
      <xdr:col>7</xdr:col>
      <xdr:colOff>332774</xdr:colOff>
      <xdr:row>32</xdr:row>
      <xdr:rowOff>91787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1" y="3040380"/>
          <a:ext cx="3937033" cy="2911187"/>
        </a:xfrm>
        <a:prstGeom prst="rect">
          <a:avLst/>
        </a:prstGeom>
      </xdr:spPr>
    </xdr:pic>
    <xdr:clientData/>
  </xdr:twoCellAnchor>
  <xdr:twoCellAnchor editAs="oneCell">
    <xdr:from>
      <xdr:col>8</xdr:col>
      <xdr:colOff>601981</xdr:colOff>
      <xdr:row>18</xdr:row>
      <xdr:rowOff>0</xdr:rowOff>
    </xdr:from>
    <xdr:to>
      <xdr:col>16</xdr:col>
      <xdr:colOff>500305</xdr:colOff>
      <xdr:row>26</xdr:row>
      <xdr:rowOff>23040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8781" y="3291840"/>
          <a:ext cx="4775124" cy="1486080"/>
        </a:xfrm>
        <a:prstGeom prst="rect">
          <a:avLst/>
        </a:prstGeom>
      </xdr:spPr>
    </xdr:pic>
    <xdr:clientData/>
  </xdr:twoCellAnchor>
  <xdr:twoCellAnchor editAs="oneCell">
    <xdr:from>
      <xdr:col>15</xdr:col>
      <xdr:colOff>68580</xdr:colOff>
      <xdr:row>8</xdr:row>
      <xdr:rowOff>144780</xdr:rowOff>
    </xdr:from>
    <xdr:to>
      <xdr:col>15</xdr:col>
      <xdr:colOff>449613</xdr:colOff>
      <xdr:row>10</xdr:row>
      <xdr:rowOff>60984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2580" y="1607820"/>
          <a:ext cx="381033" cy="281964"/>
        </a:xfrm>
        <a:prstGeom prst="rect">
          <a:avLst/>
        </a:prstGeom>
      </xdr:spPr>
    </xdr:pic>
    <xdr:clientData/>
  </xdr:twoCellAnchor>
  <xdr:twoCellAnchor editAs="oneCell">
    <xdr:from>
      <xdr:col>16</xdr:col>
      <xdr:colOff>60960</xdr:colOff>
      <xdr:row>9</xdr:row>
      <xdr:rowOff>22860</xdr:rowOff>
    </xdr:from>
    <xdr:to>
      <xdr:col>16</xdr:col>
      <xdr:colOff>472476</xdr:colOff>
      <xdr:row>10</xdr:row>
      <xdr:rowOff>45738</xdr:rowOff>
    </xdr:to>
    <xdr:pic>
      <xdr:nvPicPr>
        <xdr:cNvPr id="7" name="Рисунок 6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4560" y="1668780"/>
          <a:ext cx="411516" cy="205758"/>
        </a:xfrm>
        <a:prstGeom prst="rect">
          <a:avLst/>
        </a:prstGeom>
      </xdr:spPr>
    </xdr:pic>
    <xdr:clientData/>
  </xdr:twoCellAnchor>
  <xdr:twoCellAnchor editAs="oneCell">
    <xdr:from>
      <xdr:col>17</xdr:col>
      <xdr:colOff>60960</xdr:colOff>
      <xdr:row>9</xdr:row>
      <xdr:rowOff>38100</xdr:rowOff>
    </xdr:from>
    <xdr:to>
      <xdr:col>17</xdr:col>
      <xdr:colOff>502958</xdr:colOff>
      <xdr:row>10</xdr:row>
      <xdr:rowOff>22875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4160" y="1684020"/>
          <a:ext cx="441998" cy="167655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8</xdr:row>
      <xdr:rowOff>152400</xdr:rowOff>
    </xdr:from>
    <xdr:to>
      <xdr:col>18</xdr:col>
      <xdr:colOff>518202</xdr:colOff>
      <xdr:row>10</xdr:row>
      <xdr:rowOff>15260</xdr:rowOff>
    </xdr:to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0" y="1615440"/>
          <a:ext cx="480102" cy="22862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</xdr:colOff>
      <xdr:row>28</xdr:row>
      <xdr:rowOff>22860</xdr:rowOff>
    </xdr:from>
    <xdr:to>
      <xdr:col>14</xdr:col>
      <xdr:colOff>190779</xdr:colOff>
      <xdr:row>38</xdr:row>
      <xdr:rowOff>152570</xdr:rowOff>
    </xdr:to>
    <xdr:pic>
      <xdr:nvPicPr>
        <xdr:cNvPr id="20" name="Рисунок 19" descr="Вырезка экрана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9260" y="5143500"/>
          <a:ext cx="3215919" cy="1958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175434</xdr:colOff>
      <xdr:row>42</xdr:row>
      <xdr:rowOff>22894</xdr:rowOff>
    </xdr:to>
    <xdr:pic>
      <xdr:nvPicPr>
        <xdr:cNvPr id="21" name="Рисунок 20" descr="Вырезка экрана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315200"/>
          <a:ext cx="2004234" cy="38865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61124</xdr:colOff>
      <xdr:row>48</xdr:row>
      <xdr:rowOff>38183</xdr:rowOff>
    </xdr:to>
    <xdr:pic>
      <xdr:nvPicPr>
        <xdr:cNvPr id="22" name="Рисунок 2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863840"/>
          <a:ext cx="1889924" cy="95258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14</xdr:col>
      <xdr:colOff>396538</xdr:colOff>
      <xdr:row>54</xdr:row>
      <xdr:rowOff>175354</xdr:rowOff>
    </xdr:to>
    <xdr:pic>
      <xdr:nvPicPr>
        <xdr:cNvPr id="23" name="Рисунок 2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8961120"/>
          <a:ext cx="3444538" cy="1089754"/>
        </a:xfrm>
        <a:prstGeom prst="rect">
          <a:avLst/>
        </a:prstGeom>
      </xdr:spPr>
    </xdr:pic>
    <xdr:clientData/>
  </xdr:twoCellAnchor>
  <xdr:twoCellAnchor editAs="oneCell">
    <xdr:from>
      <xdr:col>14</xdr:col>
      <xdr:colOff>259080</xdr:colOff>
      <xdr:row>49</xdr:row>
      <xdr:rowOff>45720</xdr:rowOff>
    </xdr:from>
    <xdr:to>
      <xdr:col>16</xdr:col>
      <xdr:colOff>243944</xdr:colOff>
      <xdr:row>54</xdr:row>
      <xdr:rowOff>152488</xdr:rowOff>
    </xdr:to>
    <xdr:pic>
      <xdr:nvPicPr>
        <xdr:cNvPr id="24" name="Рисунок 23" descr="Вырезка экрана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3480" y="9006840"/>
          <a:ext cx="1204064" cy="1021168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55</xdr:row>
      <xdr:rowOff>160020</xdr:rowOff>
    </xdr:from>
    <xdr:to>
      <xdr:col>16</xdr:col>
      <xdr:colOff>343316</xdr:colOff>
      <xdr:row>67</xdr:row>
      <xdr:rowOff>137349</xdr:rowOff>
    </xdr:to>
    <xdr:pic>
      <xdr:nvPicPr>
        <xdr:cNvPr id="25" name="Рисунок 24" descr="Вырезка экрана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0218420"/>
          <a:ext cx="4801016" cy="217950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152413</xdr:colOff>
      <xdr:row>10</xdr:row>
      <xdr:rowOff>13080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1665514"/>
          <a:ext cx="152413" cy="19813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160034</xdr:colOff>
      <xdr:row>10</xdr:row>
      <xdr:rowOff>58804</xdr:rowOff>
    </xdr:to>
    <xdr:pic>
      <xdr:nvPicPr>
        <xdr:cNvPr id="10" name="Рисунок 9" descr="Вырезка экрана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1600" y="1665514"/>
          <a:ext cx="160034" cy="243861"/>
        </a:xfrm>
        <a:prstGeom prst="rect">
          <a:avLst/>
        </a:prstGeom>
      </xdr:spPr>
    </xdr:pic>
    <xdr:clientData/>
  </xdr:twoCellAnchor>
  <xdr:twoCellAnchor editAs="oneCell">
    <xdr:from>
      <xdr:col>21</xdr:col>
      <xdr:colOff>228600</xdr:colOff>
      <xdr:row>9</xdr:row>
      <xdr:rowOff>0</xdr:rowOff>
    </xdr:from>
    <xdr:to>
      <xdr:col>21</xdr:col>
      <xdr:colOff>381013</xdr:colOff>
      <xdr:row>10</xdr:row>
      <xdr:rowOff>13080</xdr:rowOff>
    </xdr:to>
    <xdr:pic>
      <xdr:nvPicPr>
        <xdr:cNvPr id="17" name="Рисунок 16" descr="Вырезка экрана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0200" y="1665514"/>
          <a:ext cx="152413" cy="198137"/>
        </a:xfrm>
        <a:prstGeom prst="rect">
          <a:avLst/>
        </a:prstGeom>
      </xdr:spPr>
    </xdr:pic>
    <xdr:clientData/>
  </xdr:twoCellAnchor>
  <xdr:twoCellAnchor editAs="oneCell">
    <xdr:from>
      <xdr:col>26</xdr:col>
      <xdr:colOff>217715</xdr:colOff>
      <xdr:row>8</xdr:row>
      <xdr:rowOff>163286</xdr:rowOff>
    </xdr:from>
    <xdr:to>
      <xdr:col>26</xdr:col>
      <xdr:colOff>377749</xdr:colOff>
      <xdr:row>10</xdr:row>
      <xdr:rowOff>37033</xdr:rowOff>
    </xdr:to>
    <xdr:pic>
      <xdr:nvPicPr>
        <xdr:cNvPr id="18" name="Рисунок 17" descr="Вырезка экрана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7315" y="1643743"/>
          <a:ext cx="160034" cy="243861"/>
        </a:xfrm>
        <a:prstGeom prst="rect">
          <a:avLst/>
        </a:prstGeom>
      </xdr:spPr>
    </xdr:pic>
    <xdr:clientData/>
  </xdr:twoCellAnchor>
  <xdr:twoCellAnchor editAs="oneCell">
    <xdr:from>
      <xdr:col>31</xdr:col>
      <xdr:colOff>163285</xdr:colOff>
      <xdr:row>62</xdr:row>
      <xdr:rowOff>141515</xdr:rowOff>
    </xdr:from>
    <xdr:to>
      <xdr:col>31</xdr:col>
      <xdr:colOff>346181</xdr:colOff>
      <xdr:row>63</xdr:row>
      <xdr:rowOff>131733</xdr:rowOff>
    </xdr:to>
    <xdr:pic>
      <xdr:nvPicPr>
        <xdr:cNvPr id="26" name="Рисунок 25" descr="Вырезка экрана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60885" y="11647715"/>
          <a:ext cx="182896" cy="175275"/>
        </a:xfrm>
        <a:prstGeom prst="rect">
          <a:avLst/>
        </a:prstGeom>
      </xdr:spPr>
    </xdr:pic>
    <xdr:clientData/>
  </xdr:twoCellAnchor>
  <xdr:twoCellAnchor editAs="oneCell">
    <xdr:from>
      <xdr:col>9</xdr:col>
      <xdr:colOff>43543</xdr:colOff>
      <xdr:row>81</xdr:row>
      <xdr:rowOff>76200</xdr:rowOff>
    </xdr:from>
    <xdr:to>
      <xdr:col>19</xdr:col>
      <xdr:colOff>478449</xdr:colOff>
      <xdr:row>110</xdr:row>
      <xdr:rowOff>74488</xdr:rowOff>
    </xdr:to>
    <xdr:pic>
      <xdr:nvPicPr>
        <xdr:cNvPr id="11" name="Рисунок 10" descr="Вырезка экрана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9943" y="15098486"/>
          <a:ext cx="6530906" cy="5364945"/>
        </a:xfrm>
        <a:prstGeom prst="rect">
          <a:avLst/>
        </a:prstGeom>
      </xdr:spPr>
    </xdr:pic>
    <xdr:clientData/>
  </xdr:twoCellAnchor>
  <xdr:twoCellAnchor editAs="oneCell">
    <xdr:from>
      <xdr:col>33</xdr:col>
      <xdr:colOff>65315</xdr:colOff>
      <xdr:row>73</xdr:row>
      <xdr:rowOff>21771</xdr:rowOff>
    </xdr:from>
    <xdr:to>
      <xdr:col>33</xdr:col>
      <xdr:colOff>248211</xdr:colOff>
      <xdr:row>74</xdr:row>
      <xdr:rowOff>11989</xdr:rowOff>
    </xdr:to>
    <xdr:pic>
      <xdr:nvPicPr>
        <xdr:cNvPr id="27" name="Рисунок 26" descr="Вырезка экрана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82115" y="13563600"/>
          <a:ext cx="182896" cy="175275"/>
        </a:xfrm>
        <a:prstGeom prst="rect">
          <a:avLst/>
        </a:prstGeom>
      </xdr:spPr>
    </xdr:pic>
    <xdr:clientData/>
  </xdr:twoCellAnchor>
  <xdr:twoCellAnchor editAs="oneCell">
    <xdr:from>
      <xdr:col>7</xdr:col>
      <xdr:colOff>195943</xdr:colOff>
      <xdr:row>67</xdr:row>
      <xdr:rowOff>111313</xdr:rowOff>
    </xdr:from>
    <xdr:to>
      <xdr:col>16</xdr:col>
      <xdr:colOff>555171</xdr:colOff>
      <xdr:row>80</xdr:row>
      <xdr:rowOff>54429</xdr:rowOff>
    </xdr:to>
    <xdr:pic>
      <xdr:nvPicPr>
        <xdr:cNvPr id="12" name="Рисунок 1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3143" y="12542799"/>
          <a:ext cx="5845628" cy="2348859"/>
        </a:xfrm>
        <a:prstGeom prst="rect">
          <a:avLst/>
        </a:prstGeom>
      </xdr:spPr>
    </xdr:pic>
    <xdr:clientData/>
  </xdr:twoCellAnchor>
  <xdr:twoCellAnchor editAs="oneCell">
    <xdr:from>
      <xdr:col>17</xdr:col>
      <xdr:colOff>130628</xdr:colOff>
      <xdr:row>16</xdr:row>
      <xdr:rowOff>21773</xdr:rowOff>
    </xdr:from>
    <xdr:to>
      <xdr:col>35</xdr:col>
      <xdr:colOff>248974</xdr:colOff>
      <xdr:row>19</xdr:row>
      <xdr:rowOff>185056</xdr:rowOff>
    </xdr:to>
    <xdr:pic>
      <xdr:nvPicPr>
        <xdr:cNvPr id="13" name="Рисунок 1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3828" y="2982687"/>
          <a:ext cx="11091146" cy="718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6</xdr:col>
      <xdr:colOff>83821</xdr:colOff>
      <xdr:row>9</xdr:row>
      <xdr:rowOff>79341</xdr:rowOff>
    </xdr:to>
    <xdr:pic>
      <xdr:nvPicPr>
        <xdr:cNvPr id="7" name="Рисунок 6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365760"/>
          <a:ext cx="4168140" cy="1359501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10</xdr:row>
      <xdr:rowOff>83821</xdr:rowOff>
    </xdr:from>
    <xdr:to>
      <xdr:col>6</xdr:col>
      <xdr:colOff>303332</xdr:colOff>
      <xdr:row>16</xdr:row>
      <xdr:rowOff>0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1912621"/>
          <a:ext cx="4326692" cy="101345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16</xdr:row>
      <xdr:rowOff>30480</xdr:rowOff>
    </xdr:from>
    <xdr:to>
      <xdr:col>6</xdr:col>
      <xdr:colOff>424845</xdr:colOff>
      <xdr:row>29</xdr:row>
      <xdr:rowOff>175578</xdr:rowOff>
    </xdr:to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2956560"/>
          <a:ext cx="4478685" cy="2522538"/>
        </a:xfrm>
        <a:prstGeom prst="rect">
          <a:avLst/>
        </a:prstGeom>
      </xdr:spPr>
    </xdr:pic>
    <xdr:clientData/>
  </xdr:twoCellAnchor>
  <xdr:twoCellAnchor editAs="oneCell">
    <xdr:from>
      <xdr:col>11</xdr:col>
      <xdr:colOff>182881</xdr:colOff>
      <xdr:row>11</xdr:row>
      <xdr:rowOff>121920</xdr:rowOff>
    </xdr:from>
    <xdr:to>
      <xdr:col>16</xdr:col>
      <xdr:colOff>281940</xdr:colOff>
      <xdr:row>24</xdr:row>
      <xdr:rowOff>129659</xdr:rowOff>
    </xdr:to>
    <xdr:pic>
      <xdr:nvPicPr>
        <xdr:cNvPr id="11" name="Рисунок 10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1" y="2133600"/>
          <a:ext cx="3147059" cy="2385179"/>
        </a:xfrm>
        <a:prstGeom prst="rect">
          <a:avLst/>
        </a:prstGeom>
      </xdr:spPr>
    </xdr:pic>
    <xdr:clientData/>
  </xdr:twoCellAnchor>
  <xdr:twoCellAnchor editAs="oneCell">
    <xdr:from>
      <xdr:col>0</xdr:col>
      <xdr:colOff>601980</xdr:colOff>
      <xdr:row>29</xdr:row>
      <xdr:rowOff>175261</xdr:rowOff>
    </xdr:from>
    <xdr:to>
      <xdr:col>6</xdr:col>
      <xdr:colOff>381000</xdr:colOff>
      <xdr:row>36</xdr:row>
      <xdr:rowOff>175202</xdr:rowOff>
    </xdr:to>
    <xdr:pic>
      <xdr:nvPicPr>
        <xdr:cNvPr id="12" name="Рисунок 11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5478781"/>
          <a:ext cx="4472940" cy="128010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37</xdr:row>
      <xdr:rowOff>175260</xdr:rowOff>
    </xdr:from>
    <xdr:to>
      <xdr:col>5</xdr:col>
      <xdr:colOff>655321</xdr:colOff>
      <xdr:row>45</xdr:row>
      <xdr:rowOff>44953</xdr:rowOff>
    </xdr:to>
    <xdr:pic>
      <xdr:nvPicPr>
        <xdr:cNvPr id="16" name="Рисунок 15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1" y="6941820"/>
          <a:ext cx="3863340" cy="1332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T93"/>
  <sheetViews>
    <sheetView topLeftCell="E1" zoomScale="70" zoomScaleNormal="70" workbookViewId="0">
      <selection activeCell="K13" sqref="K13"/>
    </sheetView>
  </sheetViews>
  <sheetFormatPr defaultRowHeight="14.4" x14ac:dyDescent="0.3"/>
  <sheetData>
    <row r="1" spans="2:29" x14ac:dyDescent="0.3">
      <c r="B1" t="s">
        <v>0</v>
      </c>
    </row>
    <row r="2" spans="2:29" x14ac:dyDescent="0.3">
      <c r="B2" t="s">
        <v>1</v>
      </c>
      <c r="K2" t="s">
        <v>10</v>
      </c>
      <c r="P2" t="s">
        <v>8</v>
      </c>
      <c r="Q2" t="s">
        <v>7</v>
      </c>
      <c r="W2" t="s">
        <v>53</v>
      </c>
    </row>
    <row r="3" spans="2:29" x14ac:dyDescent="0.3">
      <c r="K3" t="s">
        <v>3</v>
      </c>
      <c r="L3" t="s">
        <v>4</v>
      </c>
      <c r="M3" t="s">
        <v>5</v>
      </c>
      <c r="P3">
        <v>30</v>
      </c>
      <c r="Q3">
        <f>RADIANS(P3)</f>
        <v>0.52359877559829882</v>
      </c>
      <c r="R3" t="s">
        <v>6</v>
      </c>
      <c r="S3">
        <f>SIN(Q3)</f>
        <v>0.49999999999999994</v>
      </c>
    </row>
    <row r="4" spans="2:29" x14ac:dyDescent="0.3">
      <c r="I4" t="s">
        <v>2</v>
      </c>
      <c r="J4">
        <v>1</v>
      </c>
      <c r="K4" s="1">
        <v>4</v>
      </c>
      <c r="L4" s="1">
        <v>0</v>
      </c>
      <c r="M4" s="1">
        <v>0</v>
      </c>
      <c r="R4" t="s">
        <v>9</v>
      </c>
      <c r="S4">
        <f>TAN(Q3)</f>
        <v>0.57735026918962573</v>
      </c>
    </row>
    <row r="5" spans="2:29" x14ac:dyDescent="0.3">
      <c r="J5">
        <v>2</v>
      </c>
      <c r="K5" s="1">
        <v>0</v>
      </c>
      <c r="L5" s="1">
        <v>0</v>
      </c>
      <c r="M5" s="1">
        <v>0</v>
      </c>
    </row>
    <row r="6" spans="2:29" x14ac:dyDescent="0.3">
      <c r="J6">
        <v>3</v>
      </c>
      <c r="K6" s="1">
        <v>3</v>
      </c>
      <c r="L6" s="1">
        <v>0</v>
      </c>
      <c r="M6" s="1">
        <f>3^0.5*0.57735</f>
        <v>0.99999953374989126</v>
      </c>
    </row>
    <row r="7" spans="2:29" x14ac:dyDescent="0.3">
      <c r="J7">
        <v>4</v>
      </c>
      <c r="K7" s="1">
        <v>2</v>
      </c>
      <c r="L7" s="1">
        <v>0</v>
      </c>
      <c r="M7" s="1">
        <f>M6+0.5</f>
        <v>1.4999995337498913</v>
      </c>
    </row>
    <row r="8" spans="2:29" x14ac:dyDescent="0.3">
      <c r="J8">
        <v>5</v>
      </c>
      <c r="K8" s="1">
        <v>3</v>
      </c>
      <c r="L8" s="1">
        <f>3^0.5</f>
        <v>1.7320508075688772</v>
      </c>
      <c r="M8" s="1">
        <v>0</v>
      </c>
    </row>
    <row r="9" spans="2:29" x14ac:dyDescent="0.3">
      <c r="U9" t="s">
        <v>41</v>
      </c>
    </row>
    <row r="10" spans="2:29" x14ac:dyDescent="0.3">
      <c r="V10" t="s">
        <v>42</v>
      </c>
      <c r="W10" t="s">
        <v>43</v>
      </c>
      <c r="X10" t="s">
        <v>57</v>
      </c>
      <c r="AA10" t="s">
        <v>42</v>
      </c>
      <c r="AB10" t="s">
        <v>43</v>
      </c>
      <c r="AC10" t="s">
        <v>57</v>
      </c>
    </row>
    <row r="11" spans="2:29" x14ac:dyDescent="0.3">
      <c r="I11" t="s">
        <v>11</v>
      </c>
      <c r="K11" t="s">
        <v>19</v>
      </c>
      <c r="L11" t="s">
        <v>20</v>
      </c>
      <c r="M11" t="s">
        <v>21</v>
      </c>
      <c r="N11" t="s">
        <v>17</v>
      </c>
      <c r="O11" t="s">
        <v>18</v>
      </c>
    </row>
    <row r="12" spans="2:29" x14ac:dyDescent="0.3">
      <c r="I12">
        <v>1</v>
      </c>
      <c r="J12" s="3" t="s">
        <v>12</v>
      </c>
      <c r="K12">
        <f>K8-K4</f>
        <v>-1</v>
      </c>
      <c r="L12">
        <f>L8-L4</f>
        <v>1.7320508075688772</v>
      </c>
      <c r="M12">
        <f>M8-M4</f>
        <v>0</v>
      </c>
      <c r="N12" s="2">
        <f>(K12^2+L12^2+M12^2)^0.5</f>
        <v>2</v>
      </c>
      <c r="O12">
        <f>(N12^2-M12^2)^0.5</f>
        <v>2</v>
      </c>
      <c r="P12" s="20">
        <f>L12/O12</f>
        <v>0.8660254037844386</v>
      </c>
      <c r="Q12" s="20">
        <f>K12/O12</f>
        <v>-0.5</v>
      </c>
      <c r="R12" s="20">
        <f>-M12/N12</f>
        <v>0</v>
      </c>
      <c r="S12" s="20">
        <f>O12/N12</f>
        <v>1</v>
      </c>
      <c r="U12">
        <v>120</v>
      </c>
      <c r="V12">
        <f>U12*2</f>
        <v>240</v>
      </c>
      <c r="W12">
        <f>RADIANS(V12)</f>
        <v>4.1887902047863905</v>
      </c>
      <c r="X12">
        <f>SIN(W12)</f>
        <v>-0.86602540378443837</v>
      </c>
      <c r="Z12">
        <v>0</v>
      </c>
      <c r="AA12">
        <f>Z12*2</f>
        <v>0</v>
      </c>
      <c r="AB12">
        <f>RADIANS(AA12)</f>
        <v>0</v>
      </c>
      <c r="AC12">
        <f>SIN(AB12)</f>
        <v>0</v>
      </c>
    </row>
    <row r="13" spans="2:29" x14ac:dyDescent="0.3">
      <c r="I13">
        <v>2</v>
      </c>
      <c r="J13" s="3" t="s">
        <v>13</v>
      </c>
      <c r="K13">
        <f>K8-K5</f>
        <v>3</v>
      </c>
      <c r="L13">
        <f>L8-L5</f>
        <v>1.7320508075688772</v>
      </c>
      <c r="M13">
        <f>M8-M5</f>
        <v>0</v>
      </c>
      <c r="N13" s="2">
        <f>(K13^2+L13^2+M13^2)^0.5</f>
        <v>3.4641016151377544</v>
      </c>
      <c r="O13">
        <f>(N13^2-M13^2)^0.5</f>
        <v>3.4641016151377544</v>
      </c>
      <c r="P13" s="20">
        <f>L13/O13</f>
        <v>0.5</v>
      </c>
      <c r="Q13" s="20">
        <f>K13/O13</f>
        <v>0.86602540378443871</v>
      </c>
      <c r="R13" s="20">
        <f>-M13/N13</f>
        <v>0</v>
      </c>
      <c r="S13" s="20">
        <f>O13/N13</f>
        <v>1</v>
      </c>
      <c r="U13">
        <v>30</v>
      </c>
      <c r="V13">
        <f>U13*2</f>
        <v>60</v>
      </c>
      <c r="W13">
        <f>RADIANS(V13)</f>
        <v>1.0471975511965976</v>
      </c>
      <c r="X13" s="37">
        <f>SIN(W13)</f>
        <v>0.8660254037844386</v>
      </c>
      <c r="Z13">
        <v>0</v>
      </c>
      <c r="AA13">
        <f>Z13*2</f>
        <v>0</v>
      </c>
      <c r="AB13">
        <f>RADIANS(AA13)</f>
        <v>0</v>
      </c>
      <c r="AC13">
        <f>SIN(AB13)</f>
        <v>0</v>
      </c>
    </row>
    <row r="14" spans="2:29" x14ac:dyDescent="0.3">
      <c r="I14">
        <v>3</v>
      </c>
      <c r="J14" s="3" t="s">
        <v>14</v>
      </c>
      <c r="K14">
        <f>K8-K6</f>
        <v>0</v>
      </c>
      <c r="L14">
        <f>L8-L6</f>
        <v>1.7320508075688772</v>
      </c>
      <c r="M14">
        <f>M8-M6</f>
        <v>-0.99999953374989126</v>
      </c>
      <c r="N14" s="2">
        <f>(K14^2+L14^2+M14^2)^0.5</f>
        <v>1.9999997668749863</v>
      </c>
      <c r="O14">
        <f>(N14^2-M14^2)^0.5</f>
        <v>1.732050807568877</v>
      </c>
      <c r="P14" s="20">
        <f>L14/O14</f>
        <v>1.0000000000000002</v>
      </c>
      <c r="Q14" s="20">
        <f>K14/O14</f>
        <v>0</v>
      </c>
      <c r="R14" s="20">
        <f>-M14/N14</f>
        <v>0.49999982515617869</v>
      </c>
      <c r="S14" s="20">
        <f>O14/N14</f>
        <v>0.86602550473054229</v>
      </c>
      <c r="U14">
        <v>90</v>
      </c>
      <c r="V14">
        <f>U14*2</f>
        <v>180</v>
      </c>
      <c r="W14">
        <f>RADIANS(V14)</f>
        <v>3.1415926535897931</v>
      </c>
      <c r="X14">
        <f>SIN(W14)</f>
        <v>1.22514845490862E-16</v>
      </c>
      <c r="Z14">
        <v>30</v>
      </c>
      <c r="AA14">
        <f>Z14*2</f>
        <v>60</v>
      </c>
      <c r="AB14">
        <f>RADIANS(AA14)</f>
        <v>1.0471975511965976</v>
      </c>
      <c r="AC14">
        <f>SIN(AB14)</f>
        <v>0.8660254037844386</v>
      </c>
    </row>
    <row r="15" spans="2:29" x14ac:dyDescent="0.3">
      <c r="I15">
        <v>4</v>
      </c>
      <c r="J15" s="3" t="s">
        <v>15</v>
      </c>
      <c r="K15">
        <f>K8-K7</f>
        <v>1</v>
      </c>
      <c r="L15">
        <f>L8-L7</f>
        <v>1.7320508075688772</v>
      </c>
      <c r="M15">
        <f>M8-M7</f>
        <v>-1.4999995337498913</v>
      </c>
      <c r="N15" s="2">
        <f>(K15^2+L15^2+M15^2)^0.5</f>
        <v>2.4999997202499626</v>
      </c>
      <c r="O15">
        <f>(N15^2-M15^2)^0.5</f>
        <v>2</v>
      </c>
      <c r="P15" s="20">
        <f>L15/O15</f>
        <v>0.8660254037844386</v>
      </c>
      <c r="Q15" s="20">
        <f>K15/O15</f>
        <v>0.5</v>
      </c>
      <c r="R15" s="20">
        <f>-M15/N15</f>
        <v>0.59999988063995213</v>
      </c>
      <c r="S15" s="20">
        <f>O15/N15</f>
        <v>0.800000089520022</v>
      </c>
      <c r="U15">
        <v>60</v>
      </c>
      <c r="V15">
        <f>U15*2</f>
        <v>120</v>
      </c>
      <c r="W15">
        <f>RADIANS(V15)</f>
        <v>2.0943951023931953</v>
      </c>
      <c r="X15">
        <f>SIN(W15)</f>
        <v>0.86602540378443871</v>
      </c>
      <c r="Z15">
        <v>36.869999999999997</v>
      </c>
      <c r="AA15">
        <f>Z15*2</f>
        <v>73.739999999999995</v>
      </c>
      <c r="AB15">
        <f>RADIANS(AA15)</f>
        <v>1.2870057904206185</v>
      </c>
      <c r="AC15">
        <f>SIN(AB15)</f>
        <v>0.96000100038740666</v>
      </c>
    </row>
    <row r="17" spans="10:72" x14ac:dyDescent="0.3">
      <c r="J17" s="3" t="s">
        <v>16</v>
      </c>
    </row>
    <row r="28" spans="10:72" ht="15" thickBot="1" x14ac:dyDescent="0.35">
      <c r="J28" t="s">
        <v>22</v>
      </c>
      <c r="R28" t="s">
        <v>51</v>
      </c>
    </row>
    <row r="29" spans="10:72" x14ac:dyDescent="0.3">
      <c r="R29" s="32" t="s">
        <v>31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F29" s="32" t="s">
        <v>32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3"/>
      <c r="AT29" s="32" t="s">
        <v>35</v>
      </c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3"/>
      <c r="BH29" s="32" t="s">
        <v>38</v>
      </c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3"/>
    </row>
    <row r="30" spans="10:72" x14ac:dyDescent="0.3">
      <c r="R30" s="4">
        <f>1/N12</f>
        <v>0.5</v>
      </c>
      <c r="S30" s="5">
        <v>0</v>
      </c>
      <c r="T30" s="5">
        <v>0</v>
      </c>
      <c r="U30" s="5">
        <f>-1/N12</f>
        <v>-0.5</v>
      </c>
      <c r="V30" s="5">
        <v>0</v>
      </c>
      <c r="W30" s="6">
        <v>0</v>
      </c>
      <c r="X30" s="8"/>
      <c r="Y30" s="8"/>
      <c r="Z30" s="8"/>
      <c r="AA30" s="8"/>
      <c r="AB30" s="8"/>
      <c r="AC30" s="8"/>
      <c r="AD30" s="25"/>
      <c r="AF30" s="4">
        <f>1/N13</f>
        <v>0.28867513459481292</v>
      </c>
      <c r="AG30" s="5">
        <v>0</v>
      </c>
      <c r="AH30" s="5">
        <v>0</v>
      </c>
      <c r="AI30" s="5">
        <f>-1/N13</f>
        <v>-0.28867513459481292</v>
      </c>
      <c r="AJ30" s="5">
        <v>0</v>
      </c>
      <c r="AK30" s="6">
        <v>0</v>
      </c>
      <c r="AL30" s="8"/>
      <c r="AM30" s="8"/>
      <c r="AN30" s="8"/>
      <c r="AO30" s="8"/>
      <c r="AP30" s="8"/>
      <c r="AQ30" s="8"/>
      <c r="AR30" s="25"/>
      <c r="AT30" s="4">
        <f>1/N14</f>
        <v>0.50000005828126026</v>
      </c>
      <c r="AU30" s="5">
        <v>0</v>
      </c>
      <c r="AV30" s="5">
        <v>0</v>
      </c>
      <c r="AW30" s="5">
        <f>-1/N14</f>
        <v>-0.50000005828126026</v>
      </c>
      <c r="AX30" s="5">
        <v>0</v>
      </c>
      <c r="AY30" s="6">
        <v>0</v>
      </c>
      <c r="AZ30" s="8"/>
      <c r="BA30" s="8"/>
      <c r="BB30" s="8"/>
      <c r="BC30" s="8"/>
      <c r="BD30" s="8"/>
      <c r="BE30" s="8"/>
      <c r="BF30" s="25"/>
      <c r="BH30" s="4">
        <f>1/N15</f>
        <v>0.400000044760011</v>
      </c>
      <c r="BI30" s="5">
        <v>0</v>
      </c>
      <c r="BJ30" s="5">
        <v>0</v>
      </c>
      <c r="BK30" s="5">
        <f>-1/N15</f>
        <v>-0.400000044760011</v>
      </c>
      <c r="BL30" s="5">
        <v>0</v>
      </c>
      <c r="BM30" s="6">
        <v>0</v>
      </c>
      <c r="BN30" s="8"/>
      <c r="BO30" s="8"/>
      <c r="BP30" s="8"/>
      <c r="BQ30" s="8"/>
      <c r="BR30" s="8"/>
      <c r="BS30" s="8"/>
      <c r="BT30" s="25"/>
    </row>
    <row r="31" spans="10:72" x14ac:dyDescent="0.3">
      <c r="R31" s="7">
        <v>0</v>
      </c>
      <c r="S31" s="8">
        <v>0</v>
      </c>
      <c r="T31" s="8">
        <v>0</v>
      </c>
      <c r="U31" s="8">
        <v>0</v>
      </c>
      <c r="V31" s="8">
        <v>0</v>
      </c>
      <c r="W31" s="9">
        <v>0</v>
      </c>
      <c r="X31" s="8"/>
      <c r="Y31" s="8"/>
      <c r="Z31" s="8"/>
      <c r="AA31" s="8"/>
      <c r="AB31" s="8"/>
      <c r="AC31" s="8"/>
      <c r="AD31" s="25"/>
      <c r="AF31" s="7">
        <v>0</v>
      </c>
      <c r="AG31" s="8">
        <v>0</v>
      </c>
      <c r="AH31" s="8">
        <v>0</v>
      </c>
      <c r="AI31" s="8">
        <v>0</v>
      </c>
      <c r="AJ31" s="8">
        <v>0</v>
      </c>
      <c r="AK31" s="9">
        <v>0</v>
      </c>
      <c r="AL31" s="8"/>
      <c r="AM31" s="8"/>
      <c r="AN31" s="8"/>
      <c r="AO31" s="8"/>
      <c r="AP31" s="8"/>
      <c r="AQ31" s="8"/>
      <c r="AR31" s="25"/>
      <c r="AT31" s="7">
        <v>0</v>
      </c>
      <c r="AU31" s="8">
        <v>0</v>
      </c>
      <c r="AV31" s="8">
        <v>0</v>
      </c>
      <c r="AW31" s="8">
        <v>0</v>
      </c>
      <c r="AX31" s="8">
        <v>0</v>
      </c>
      <c r="AY31" s="9">
        <v>0</v>
      </c>
      <c r="AZ31" s="8"/>
      <c r="BA31" s="8"/>
      <c r="BB31" s="8"/>
      <c r="BC31" s="8"/>
      <c r="BD31" s="8"/>
      <c r="BE31" s="8"/>
      <c r="BF31" s="25"/>
      <c r="BH31" s="7">
        <v>0</v>
      </c>
      <c r="BI31" s="8">
        <v>0</v>
      </c>
      <c r="BJ31" s="8">
        <v>0</v>
      </c>
      <c r="BK31" s="8">
        <v>0</v>
      </c>
      <c r="BL31" s="8">
        <v>0</v>
      </c>
      <c r="BM31" s="9">
        <v>0</v>
      </c>
      <c r="BN31" s="8"/>
      <c r="BO31" s="8"/>
      <c r="BP31" s="8"/>
      <c r="BQ31" s="8"/>
      <c r="BR31" s="8"/>
      <c r="BS31" s="8"/>
      <c r="BT31" s="25"/>
    </row>
    <row r="32" spans="10:72" x14ac:dyDescent="0.3">
      <c r="R32" s="7">
        <v>0</v>
      </c>
      <c r="S32" s="8">
        <v>0</v>
      </c>
      <c r="T32" s="8">
        <v>0</v>
      </c>
      <c r="U32" s="8">
        <v>0</v>
      </c>
      <c r="V32" s="8">
        <v>0</v>
      </c>
      <c r="W32" s="9">
        <v>0</v>
      </c>
      <c r="X32" s="8"/>
      <c r="Y32" s="8"/>
      <c r="Z32" s="8"/>
      <c r="AA32" s="8"/>
      <c r="AB32" s="8"/>
      <c r="AC32" s="8"/>
      <c r="AD32" s="25"/>
      <c r="AF32" s="7">
        <v>0</v>
      </c>
      <c r="AG32" s="8">
        <v>0</v>
      </c>
      <c r="AH32" s="8">
        <v>0</v>
      </c>
      <c r="AI32" s="8">
        <v>0</v>
      </c>
      <c r="AJ32" s="8">
        <v>0</v>
      </c>
      <c r="AK32" s="9">
        <v>0</v>
      </c>
      <c r="AL32" s="8"/>
      <c r="AM32" s="8"/>
      <c r="AN32" s="8"/>
      <c r="AO32" s="8"/>
      <c r="AP32" s="8"/>
      <c r="AQ32" s="8"/>
      <c r="AR32" s="25"/>
      <c r="AT32" s="7">
        <v>0</v>
      </c>
      <c r="AU32" s="8">
        <v>0</v>
      </c>
      <c r="AV32" s="8">
        <v>0</v>
      </c>
      <c r="AW32" s="8">
        <v>0</v>
      </c>
      <c r="AX32" s="8">
        <v>0</v>
      </c>
      <c r="AY32" s="9">
        <v>0</v>
      </c>
      <c r="AZ32" s="8"/>
      <c r="BA32" s="8"/>
      <c r="BB32" s="8"/>
      <c r="BC32" s="8"/>
      <c r="BD32" s="8"/>
      <c r="BE32" s="8"/>
      <c r="BF32" s="25"/>
      <c r="BH32" s="7">
        <v>0</v>
      </c>
      <c r="BI32" s="8">
        <v>0</v>
      </c>
      <c r="BJ32" s="8">
        <v>0</v>
      </c>
      <c r="BK32" s="8">
        <v>0</v>
      </c>
      <c r="BL32" s="8">
        <v>0</v>
      </c>
      <c r="BM32" s="9">
        <v>0</v>
      </c>
      <c r="BN32" s="8"/>
      <c r="BO32" s="8"/>
      <c r="BP32" s="8"/>
      <c r="BQ32" s="8"/>
      <c r="BR32" s="8"/>
      <c r="BS32" s="8"/>
      <c r="BT32" s="25"/>
    </row>
    <row r="33" spans="14:72" x14ac:dyDescent="0.3">
      <c r="R33" s="7">
        <f>-1/N12</f>
        <v>-0.5</v>
      </c>
      <c r="S33" s="8">
        <v>0</v>
      </c>
      <c r="T33" s="8">
        <v>0</v>
      </c>
      <c r="U33" s="8">
        <f>1/N12</f>
        <v>0.5</v>
      </c>
      <c r="V33" s="8">
        <v>0</v>
      </c>
      <c r="W33" s="9">
        <v>0</v>
      </c>
      <c r="X33" s="8"/>
      <c r="Y33" s="8"/>
      <c r="Z33" s="8"/>
      <c r="AA33" s="8"/>
      <c r="AB33" s="8"/>
      <c r="AC33" s="8"/>
      <c r="AD33" s="25"/>
      <c r="AF33" s="7">
        <f>-1/N13</f>
        <v>-0.28867513459481292</v>
      </c>
      <c r="AG33" s="8">
        <v>0</v>
      </c>
      <c r="AH33" s="8">
        <v>0</v>
      </c>
      <c r="AI33" s="8">
        <f>1/N13</f>
        <v>0.28867513459481292</v>
      </c>
      <c r="AJ33" s="8">
        <v>0</v>
      </c>
      <c r="AK33" s="9">
        <v>0</v>
      </c>
      <c r="AL33" s="8"/>
      <c r="AM33" s="8"/>
      <c r="AN33" s="8"/>
      <c r="AO33" s="8"/>
      <c r="AP33" s="8"/>
      <c r="AQ33" s="8"/>
      <c r="AR33" s="25"/>
      <c r="AT33" s="7">
        <f>-1/N14</f>
        <v>-0.50000005828126026</v>
      </c>
      <c r="AU33" s="8">
        <v>0</v>
      </c>
      <c r="AV33" s="8">
        <v>0</v>
      </c>
      <c r="AW33" s="8">
        <f>1/N14</f>
        <v>0.50000005828126026</v>
      </c>
      <c r="AX33" s="8">
        <v>0</v>
      </c>
      <c r="AY33" s="9">
        <v>0</v>
      </c>
      <c r="AZ33" s="8"/>
      <c r="BA33" s="8"/>
      <c r="BB33" s="8"/>
      <c r="BC33" s="8"/>
      <c r="BD33" s="8"/>
      <c r="BE33" s="8"/>
      <c r="BF33" s="25"/>
      <c r="BH33" s="7">
        <f>-1/N15</f>
        <v>-0.400000044760011</v>
      </c>
      <c r="BI33" s="8">
        <v>0</v>
      </c>
      <c r="BJ33" s="8">
        <v>0</v>
      </c>
      <c r="BK33" s="8">
        <f>1/N15</f>
        <v>0.400000044760011</v>
      </c>
      <c r="BL33" s="8">
        <v>0</v>
      </c>
      <c r="BM33" s="9">
        <v>0</v>
      </c>
      <c r="BN33" s="8"/>
      <c r="BO33" s="8"/>
      <c r="BP33" s="8"/>
      <c r="BQ33" s="8"/>
      <c r="BR33" s="8"/>
      <c r="BS33" s="8"/>
      <c r="BT33" s="25"/>
    </row>
    <row r="34" spans="14:72" x14ac:dyDescent="0.3">
      <c r="R34" s="7">
        <v>0</v>
      </c>
      <c r="S34" s="8">
        <v>0</v>
      </c>
      <c r="T34" s="8">
        <v>0</v>
      </c>
      <c r="U34" s="8">
        <v>0</v>
      </c>
      <c r="V34" s="8">
        <v>0</v>
      </c>
      <c r="W34" s="9">
        <v>0</v>
      </c>
      <c r="X34" s="8"/>
      <c r="Y34" s="8"/>
      <c r="Z34" s="8"/>
      <c r="AA34" s="8"/>
      <c r="AB34" s="8"/>
      <c r="AC34" s="8"/>
      <c r="AD34" s="25"/>
      <c r="AF34" s="7">
        <v>0</v>
      </c>
      <c r="AG34" s="8">
        <v>0</v>
      </c>
      <c r="AH34" s="8">
        <v>0</v>
      </c>
      <c r="AI34" s="8">
        <v>0</v>
      </c>
      <c r="AJ34" s="8">
        <v>0</v>
      </c>
      <c r="AK34" s="9">
        <v>0</v>
      </c>
      <c r="AL34" s="8"/>
      <c r="AM34" s="8"/>
      <c r="AN34" s="8"/>
      <c r="AO34" s="8"/>
      <c r="AP34" s="8"/>
      <c r="AQ34" s="8"/>
      <c r="AR34" s="25"/>
      <c r="AT34" s="7">
        <v>0</v>
      </c>
      <c r="AU34" s="8">
        <v>0</v>
      </c>
      <c r="AV34" s="8">
        <v>0</v>
      </c>
      <c r="AW34" s="8">
        <v>0</v>
      </c>
      <c r="AX34" s="8">
        <v>0</v>
      </c>
      <c r="AY34" s="9">
        <v>0</v>
      </c>
      <c r="AZ34" s="8"/>
      <c r="BA34" s="8"/>
      <c r="BB34" s="8"/>
      <c r="BC34" s="8"/>
      <c r="BD34" s="8"/>
      <c r="BE34" s="8"/>
      <c r="BF34" s="25"/>
      <c r="BH34" s="7">
        <v>0</v>
      </c>
      <c r="BI34" s="8">
        <v>0</v>
      </c>
      <c r="BJ34" s="8">
        <v>0</v>
      </c>
      <c r="BK34" s="8">
        <v>0</v>
      </c>
      <c r="BL34" s="8">
        <v>0</v>
      </c>
      <c r="BM34" s="9">
        <v>0</v>
      </c>
      <c r="BN34" s="8"/>
      <c r="BO34" s="8"/>
      <c r="BP34" s="8"/>
      <c r="BQ34" s="8"/>
      <c r="BR34" s="8"/>
      <c r="BS34" s="8"/>
      <c r="BT34" s="25"/>
    </row>
    <row r="35" spans="14:72" x14ac:dyDescent="0.3">
      <c r="R35" s="10">
        <v>0</v>
      </c>
      <c r="S35" s="11">
        <v>0</v>
      </c>
      <c r="T35" s="11">
        <v>0</v>
      </c>
      <c r="U35" s="11">
        <v>0</v>
      </c>
      <c r="V35" s="11">
        <v>0</v>
      </c>
      <c r="W35" s="12">
        <v>0</v>
      </c>
      <c r="X35" s="8"/>
      <c r="Y35" s="8"/>
      <c r="Z35" s="8"/>
      <c r="AA35" s="8"/>
      <c r="AB35" s="8"/>
      <c r="AC35" s="8"/>
      <c r="AD35" s="25"/>
      <c r="AF35" s="10">
        <v>0</v>
      </c>
      <c r="AG35" s="11">
        <v>0</v>
      </c>
      <c r="AH35" s="11">
        <v>0</v>
      </c>
      <c r="AI35" s="11">
        <v>0</v>
      </c>
      <c r="AJ35" s="11">
        <v>0</v>
      </c>
      <c r="AK35" s="12">
        <v>0</v>
      </c>
      <c r="AL35" s="8"/>
      <c r="AM35" s="8"/>
      <c r="AN35" s="8"/>
      <c r="AO35" s="8"/>
      <c r="AP35" s="8"/>
      <c r="AQ35" s="8"/>
      <c r="AR35" s="25"/>
      <c r="AT35" s="10">
        <v>0</v>
      </c>
      <c r="AU35" s="11">
        <v>0</v>
      </c>
      <c r="AV35" s="11">
        <v>0</v>
      </c>
      <c r="AW35" s="11">
        <v>0</v>
      </c>
      <c r="AX35" s="11">
        <v>0</v>
      </c>
      <c r="AY35" s="12">
        <v>0</v>
      </c>
      <c r="AZ35" s="8"/>
      <c r="BA35" s="8"/>
      <c r="BB35" s="8"/>
      <c r="BC35" s="8"/>
      <c r="BD35" s="8"/>
      <c r="BE35" s="8"/>
      <c r="BF35" s="25"/>
      <c r="BH35" s="10">
        <v>0</v>
      </c>
      <c r="BI35" s="11">
        <v>0</v>
      </c>
      <c r="BJ35" s="11">
        <v>0</v>
      </c>
      <c r="BK35" s="11">
        <v>0</v>
      </c>
      <c r="BL35" s="11">
        <v>0</v>
      </c>
      <c r="BM35" s="12">
        <v>0</v>
      </c>
      <c r="BN35" s="8"/>
      <c r="BO35" s="8"/>
      <c r="BP35" s="8"/>
      <c r="BQ35" s="8"/>
      <c r="BR35" s="8"/>
      <c r="BS35" s="8"/>
      <c r="BT35" s="25"/>
    </row>
    <row r="36" spans="14:72" x14ac:dyDescent="0.3">
      <c r="R36" s="24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25"/>
      <c r="AF36" s="24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25"/>
      <c r="AT36" s="24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25"/>
      <c r="BH36" s="24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25"/>
    </row>
    <row r="37" spans="14:72" x14ac:dyDescent="0.3">
      <c r="R37" s="24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25"/>
      <c r="AF37" s="24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25"/>
      <c r="AT37" s="24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25"/>
      <c r="BH37" s="24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25"/>
    </row>
    <row r="38" spans="14:72" x14ac:dyDescent="0.3">
      <c r="R38" s="24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25"/>
      <c r="AF38" s="2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25"/>
      <c r="AT38" s="24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25"/>
      <c r="BH38" s="24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25"/>
    </row>
    <row r="39" spans="14:72" ht="15" thickBot="1" x14ac:dyDescent="0.35">
      <c r="R39" s="24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25"/>
      <c r="AF39" s="24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25"/>
      <c r="AT39" s="24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25"/>
      <c r="BH39" s="24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25"/>
    </row>
    <row r="40" spans="14:72" x14ac:dyDescent="0.3">
      <c r="R40" s="21" t="s">
        <v>27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/>
      <c r="AF40" s="21" t="s">
        <v>33</v>
      </c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T40" s="21" t="s">
        <v>36</v>
      </c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3"/>
      <c r="BH40" s="21" t="s">
        <v>39</v>
      </c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3"/>
    </row>
    <row r="41" spans="14:72" x14ac:dyDescent="0.3">
      <c r="R41" s="24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25"/>
      <c r="AF41" s="24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25"/>
      <c r="AT41" s="24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25"/>
      <c r="BH41" s="24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25"/>
    </row>
    <row r="42" spans="14:72" x14ac:dyDescent="0.3">
      <c r="N42" t="s">
        <v>23</v>
      </c>
      <c r="R42" s="24" t="s">
        <v>28</v>
      </c>
      <c r="S42" s="8"/>
      <c r="T42" s="8"/>
      <c r="U42" s="8"/>
      <c r="V42" s="8"/>
      <c r="W42" s="8"/>
      <c r="X42" s="8"/>
      <c r="Y42" s="8" t="s">
        <v>29</v>
      </c>
      <c r="Z42" s="8"/>
      <c r="AA42" s="8"/>
      <c r="AB42" s="8"/>
      <c r="AC42" s="8"/>
      <c r="AD42" s="25"/>
      <c r="AF42" s="24" t="s">
        <v>28</v>
      </c>
      <c r="AG42" s="8"/>
      <c r="AH42" s="8"/>
      <c r="AI42" s="8"/>
      <c r="AJ42" s="8"/>
      <c r="AK42" s="8"/>
      <c r="AL42" s="8"/>
      <c r="AM42" s="8" t="s">
        <v>29</v>
      </c>
      <c r="AN42" s="8"/>
      <c r="AO42" s="8"/>
      <c r="AP42" s="8"/>
      <c r="AQ42" s="8"/>
      <c r="AR42" s="25"/>
      <c r="AT42" s="24" t="s">
        <v>28</v>
      </c>
      <c r="AU42" s="8"/>
      <c r="AV42" s="8"/>
      <c r="AW42" s="8"/>
      <c r="AX42" s="8"/>
      <c r="AY42" s="8"/>
      <c r="AZ42" s="8"/>
      <c r="BA42" s="8" t="s">
        <v>29</v>
      </c>
      <c r="BB42" s="8"/>
      <c r="BC42" s="8"/>
      <c r="BD42" s="8"/>
      <c r="BE42" s="8"/>
      <c r="BF42" s="25"/>
      <c r="BH42" s="24" t="s">
        <v>28</v>
      </c>
      <c r="BI42" s="8"/>
      <c r="BJ42" s="8"/>
      <c r="BK42" s="8"/>
      <c r="BL42" s="8"/>
      <c r="BM42" s="8"/>
      <c r="BN42" s="8"/>
      <c r="BO42" s="8" t="s">
        <v>29</v>
      </c>
      <c r="BP42" s="8"/>
      <c r="BQ42" s="8"/>
      <c r="BR42" s="8"/>
      <c r="BS42" s="8"/>
      <c r="BT42" s="25"/>
    </row>
    <row r="43" spans="14:72" x14ac:dyDescent="0.3">
      <c r="R43" s="26">
        <f>R51</f>
        <v>-0.5</v>
      </c>
      <c r="S43" s="5">
        <f>S51</f>
        <v>0.8660254037844386</v>
      </c>
      <c r="T43" s="5">
        <f>T51</f>
        <v>0</v>
      </c>
      <c r="U43" s="5">
        <v>0</v>
      </c>
      <c r="V43" s="5">
        <v>0</v>
      </c>
      <c r="W43" s="6">
        <v>0</v>
      </c>
      <c r="X43" s="8"/>
      <c r="Y43" s="4">
        <f t="array" ref="Y43:AD48">TRANSPOSE(R43:W48)</f>
        <v>-0.5</v>
      </c>
      <c r="Z43" s="5">
        <v>-0.8660254037844386</v>
      </c>
      <c r="AA43" s="5">
        <v>0</v>
      </c>
      <c r="AB43" s="5">
        <v>0</v>
      </c>
      <c r="AC43" s="5">
        <v>0</v>
      </c>
      <c r="AD43" s="27">
        <v>0</v>
      </c>
      <c r="AF43" s="26">
        <f t="shared" ref="AF43:AH45" si="0">AF51</f>
        <v>0.86602540378443871</v>
      </c>
      <c r="AG43" s="5">
        <f t="shared" si="0"/>
        <v>0.5</v>
      </c>
      <c r="AH43" s="5">
        <f t="shared" si="0"/>
        <v>0</v>
      </c>
      <c r="AI43" s="5">
        <v>0</v>
      </c>
      <c r="AJ43" s="5">
        <v>0</v>
      </c>
      <c r="AK43" s="6">
        <v>0</v>
      </c>
      <c r="AL43" s="8"/>
      <c r="AM43" s="4">
        <f t="array" ref="AM43:AR48">TRANSPOSE(AF43:AK48)</f>
        <v>0.86602540378443871</v>
      </c>
      <c r="AN43" s="5">
        <v>-0.5</v>
      </c>
      <c r="AO43" s="5">
        <v>0</v>
      </c>
      <c r="AP43" s="5">
        <v>0</v>
      </c>
      <c r="AQ43" s="5">
        <v>0</v>
      </c>
      <c r="AR43" s="27">
        <v>0</v>
      </c>
      <c r="AT43" s="26">
        <f t="shared" ref="AT43:AV45" si="1">AT51</f>
        <v>0</v>
      </c>
      <c r="AU43" s="5">
        <f t="shared" si="1"/>
        <v>0.86602550473054252</v>
      </c>
      <c r="AV43" s="5">
        <f t="shared" si="1"/>
        <v>-0.49999982515617869</v>
      </c>
      <c r="AW43" s="5">
        <v>0</v>
      </c>
      <c r="AX43" s="5">
        <v>0</v>
      </c>
      <c r="AY43" s="6">
        <v>0</v>
      </c>
      <c r="AZ43" s="8"/>
      <c r="BA43" s="4">
        <f t="array" ref="BA43:BF48">TRANSPOSE(AT43:AY48)</f>
        <v>0</v>
      </c>
      <c r="BB43" s="5">
        <v>-1.0000000000000002</v>
      </c>
      <c r="BC43" s="5">
        <v>0</v>
      </c>
      <c r="BD43" s="5">
        <v>0</v>
      </c>
      <c r="BE43" s="5">
        <v>0</v>
      </c>
      <c r="BF43" s="27">
        <v>0</v>
      </c>
      <c r="BH43" s="26">
        <f t="shared" ref="BH43:BJ45" si="2">BH51</f>
        <v>0.400000044760011</v>
      </c>
      <c r="BI43" s="5">
        <f t="shared" si="2"/>
        <v>0.69282040055416405</v>
      </c>
      <c r="BJ43" s="5">
        <f t="shared" si="2"/>
        <v>-0.59999988063995213</v>
      </c>
      <c r="BK43" s="5">
        <v>0</v>
      </c>
      <c r="BL43" s="5">
        <v>0</v>
      </c>
      <c r="BM43" s="6">
        <v>0</v>
      </c>
      <c r="BN43" s="8"/>
      <c r="BO43" s="4">
        <f t="array" ref="BO43:BT48">TRANSPOSE(BH43:BM48)</f>
        <v>0.400000044760011</v>
      </c>
      <c r="BP43" s="5">
        <v>-0.8660254037844386</v>
      </c>
      <c r="BQ43" s="5">
        <v>0.29999994031997607</v>
      </c>
      <c r="BR43" s="5">
        <v>0</v>
      </c>
      <c r="BS43" s="5">
        <v>0</v>
      </c>
      <c r="BT43" s="27">
        <v>0</v>
      </c>
    </row>
    <row r="44" spans="14:72" x14ac:dyDescent="0.3">
      <c r="R44" s="24">
        <f t="shared" ref="R44:T45" si="3">R52</f>
        <v>-0.8660254037844386</v>
      </c>
      <c r="S44" s="8">
        <f t="shared" si="3"/>
        <v>-0.5</v>
      </c>
      <c r="T44" s="8">
        <f t="shared" si="3"/>
        <v>0</v>
      </c>
      <c r="U44" s="8">
        <v>0</v>
      </c>
      <c r="V44" s="8">
        <v>0</v>
      </c>
      <c r="W44" s="9">
        <v>0</v>
      </c>
      <c r="X44" s="8"/>
      <c r="Y44" s="7">
        <v>0.8660254037844386</v>
      </c>
      <c r="Z44" s="8">
        <v>-0.5</v>
      </c>
      <c r="AA44" s="8">
        <v>0</v>
      </c>
      <c r="AB44" s="8">
        <v>0</v>
      </c>
      <c r="AC44" s="8">
        <v>0</v>
      </c>
      <c r="AD44" s="25">
        <v>0</v>
      </c>
      <c r="AF44" s="24">
        <f t="shared" si="0"/>
        <v>-0.5</v>
      </c>
      <c r="AG44" s="8">
        <f t="shared" si="0"/>
        <v>0.86602540378443871</v>
      </c>
      <c r="AH44" s="8">
        <f t="shared" si="0"/>
        <v>0</v>
      </c>
      <c r="AI44" s="8">
        <v>0</v>
      </c>
      <c r="AJ44" s="8">
        <v>0</v>
      </c>
      <c r="AK44" s="9">
        <v>0</v>
      </c>
      <c r="AL44" s="8"/>
      <c r="AM44" s="7">
        <v>0.5</v>
      </c>
      <c r="AN44" s="8">
        <v>0.86602540378443871</v>
      </c>
      <c r="AO44" s="8">
        <v>0</v>
      </c>
      <c r="AP44" s="8">
        <v>0</v>
      </c>
      <c r="AQ44" s="8">
        <v>0</v>
      </c>
      <c r="AR44" s="25">
        <v>0</v>
      </c>
      <c r="AT44" s="24">
        <f t="shared" si="1"/>
        <v>-1.0000000000000002</v>
      </c>
      <c r="AU44" s="8">
        <f t="shared" si="1"/>
        <v>0</v>
      </c>
      <c r="AV44" s="8">
        <f t="shared" si="1"/>
        <v>0</v>
      </c>
      <c r="AW44" s="8">
        <v>0</v>
      </c>
      <c r="AX44" s="8">
        <v>0</v>
      </c>
      <c r="AY44" s="9">
        <v>0</v>
      </c>
      <c r="AZ44" s="8"/>
      <c r="BA44" s="7">
        <v>0.86602550473054252</v>
      </c>
      <c r="BB44" s="8">
        <v>0</v>
      </c>
      <c r="BC44" s="8">
        <v>0.4999998251561788</v>
      </c>
      <c r="BD44" s="8">
        <v>0</v>
      </c>
      <c r="BE44" s="8">
        <v>0</v>
      </c>
      <c r="BF44" s="25">
        <v>0</v>
      </c>
      <c r="BH44" s="24">
        <f t="shared" si="2"/>
        <v>-0.8660254037844386</v>
      </c>
      <c r="BI44" s="8">
        <f t="shared" si="2"/>
        <v>0.5</v>
      </c>
      <c r="BJ44" s="8">
        <f t="shared" si="2"/>
        <v>0</v>
      </c>
      <c r="BK44" s="8">
        <v>0</v>
      </c>
      <c r="BL44" s="8">
        <v>0</v>
      </c>
      <c r="BM44" s="9">
        <v>0</v>
      </c>
      <c r="BN44" s="8"/>
      <c r="BO44" s="7">
        <v>0.69282040055416405</v>
      </c>
      <c r="BP44" s="8">
        <v>0.5</v>
      </c>
      <c r="BQ44" s="8">
        <v>0.51961513890182953</v>
      </c>
      <c r="BR44" s="8">
        <v>0</v>
      </c>
      <c r="BS44" s="8">
        <v>0</v>
      </c>
      <c r="BT44" s="25">
        <v>0</v>
      </c>
    </row>
    <row r="45" spans="14:72" x14ac:dyDescent="0.3">
      <c r="N45" t="s">
        <v>24</v>
      </c>
      <c r="R45" s="24">
        <f t="shared" si="3"/>
        <v>0</v>
      </c>
      <c r="S45" s="8">
        <f t="shared" si="3"/>
        <v>0</v>
      </c>
      <c r="T45" s="8">
        <f t="shared" si="3"/>
        <v>1</v>
      </c>
      <c r="U45" s="8">
        <v>0</v>
      </c>
      <c r="V45" s="8">
        <v>0</v>
      </c>
      <c r="W45" s="9">
        <v>0</v>
      </c>
      <c r="X45" s="8"/>
      <c r="Y45" s="7">
        <v>0</v>
      </c>
      <c r="Z45" s="8">
        <v>0</v>
      </c>
      <c r="AA45" s="8">
        <v>1</v>
      </c>
      <c r="AB45" s="8">
        <v>0</v>
      </c>
      <c r="AC45" s="8">
        <v>0</v>
      </c>
      <c r="AD45" s="25">
        <v>0</v>
      </c>
      <c r="AF45" s="24">
        <f t="shared" si="0"/>
        <v>0</v>
      </c>
      <c r="AG45" s="8">
        <f t="shared" si="0"/>
        <v>0</v>
      </c>
      <c r="AH45" s="8">
        <f t="shared" si="0"/>
        <v>1</v>
      </c>
      <c r="AI45" s="8">
        <v>0</v>
      </c>
      <c r="AJ45" s="8">
        <v>0</v>
      </c>
      <c r="AK45" s="9">
        <v>0</v>
      </c>
      <c r="AL45" s="8"/>
      <c r="AM45" s="7">
        <v>0</v>
      </c>
      <c r="AN45" s="8">
        <v>0</v>
      </c>
      <c r="AO45" s="8">
        <v>1</v>
      </c>
      <c r="AP45" s="8">
        <v>0</v>
      </c>
      <c r="AQ45" s="8">
        <v>0</v>
      </c>
      <c r="AR45" s="25">
        <v>0</v>
      </c>
      <c r="AT45" s="24">
        <f t="shared" si="1"/>
        <v>0</v>
      </c>
      <c r="AU45" s="8">
        <f t="shared" si="1"/>
        <v>0.4999998251561788</v>
      </c>
      <c r="AV45" s="8">
        <f t="shared" si="1"/>
        <v>0.86602550473054229</v>
      </c>
      <c r="AW45" s="8">
        <v>0</v>
      </c>
      <c r="AX45" s="8">
        <v>0</v>
      </c>
      <c r="AY45" s="9">
        <v>0</v>
      </c>
      <c r="AZ45" s="8"/>
      <c r="BA45" s="7">
        <v>-0.49999982515617869</v>
      </c>
      <c r="BB45" s="8">
        <v>0</v>
      </c>
      <c r="BC45" s="8">
        <v>0.86602550473054229</v>
      </c>
      <c r="BD45" s="8">
        <v>0</v>
      </c>
      <c r="BE45" s="8">
        <v>0</v>
      </c>
      <c r="BF45" s="25">
        <v>0</v>
      </c>
      <c r="BH45" s="24">
        <f t="shared" si="2"/>
        <v>0.29999994031997607</v>
      </c>
      <c r="BI45" s="8">
        <f t="shared" si="2"/>
        <v>0.51961513890182953</v>
      </c>
      <c r="BJ45" s="8">
        <f t="shared" si="2"/>
        <v>0.800000089520022</v>
      </c>
      <c r="BK45" s="8">
        <v>0</v>
      </c>
      <c r="BL45" s="8">
        <v>0</v>
      </c>
      <c r="BM45" s="9">
        <v>0</v>
      </c>
      <c r="BN45" s="8"/>
      <c r="BO45" s="7">
        <v>-0.59999988063995213</v>
      </c>
      <c r="BP45" s="8">
        <v>0</v>
      </c>
      <c r="BQ45" s="8">
        <v>0.800000089520022</v>
      </c>
      <c r="BR45" s="8">
        <v>0</v>
      </c>
      <c r="BS45" s="8">
        <v>0</v>
      </c>
      <c r="BT45" s="25">
        <v>0</v>
      </c>
    </row>
    <row r="46" spans="14:72" x14ac:dyDescent="0.3">
      <c r="R46" s="24">
        <v>0</v>
      </c>
      <c r="S46" s="8">
        <v>0</v>
      </c>
      <c r="T46" s="8">
        <v>0</v>
      </c>
      <c r="U46" s="8">
        <f>R51</f>
        <v>-0.5</v>
      </c>
      <c r="V46" s="8">
        <f t="shared" ref="V46:W48" si="4">S51</f>
        <v>0.8660254037844386</v>
      </c>
      <c r="W46" s="9">
        <f t="shared" si="4"/>
        <v>0</v>
      </c>
      <c r="X46" s="8"/>
      <c r="Y46" s="7">
        <v>0</v>
      </c>
      <c r="Z46" s="8">
        <v>0</v>
      </c>
      <c r="AA46" s="8">
        <v>0</v>
      </c>
      <c r="AB46" s="8">
        <v>-0.5</v>
      </c>
      <c r="AC46" s="8">
        <v>-0.8660254037844386</v>
      </c>
      <c r="AD46" s="25">
        <v>0</v>
      </c>
      <c r="AF46" s="24">
        <v>0</v>
      </c>
      <c r="AG46" s="8">
        <v>0</v>
      </c>
      <c r="AH46" s="8">
        <v>0</v>
      </c>
      <c r="AI46" s="8">
        <f t="shared" ref="AI46:AK48" si="5">AF51</f>
        <v>0.86602540378443871</v>
      </c>
      <c r="AJ46" s="8">
        <f t="shared" si="5"/>
        <v>0.5</v>
      </c>
      <c r="AK46" s="9">
        <f t="shared" si="5"/>
        <v>0</v>
      </c>
      <c r="AL46" s="8"/>
      <c r="AM46" s="7">
        <v>0</v>
      </c>
      <c r="AN46" s="8">
        <v>0</v>
      </c>
      <c r="AO46" s="8">
        <v>0</v>
      </c>
      <c r="AP46" s="8">
        <v>0.86602540378443871</v>
      </c>
      <c r="AQ46" s="8">
        <v>-0.5</v>
      </c>
      <c r="AR46" s="25">
        <v>0</v>
      </c>
      <c r="AT46" s="24">
        <v>0</v>
      </c>
      <c r="AU46" s="8">
        <v>0</v>
      </c>
      <c r="AV46" s="8">
        <v>0</v>
      </c>
      <c r="AW46" s="8">
        <f t="shared" ref="AW46:AY48" si="6">AT51</f>
        <v>0</v>
      </c>
      <c r="AX46" s="8">
        <f t="shared" si="6"/>
        <v>0.86602550473054252</v>
      </c>
      <c r="AY46" s="9">
        <f t="shared" si="6"/>
        <v>-0.49999982515617869</v>
      </c>
      <c r="AZ46" s="8"/>
      <c r="BA46" s="7">
        <v>0</v>
      </c>
      <c r="BB46" s="8">
        <v>0</v>
      </c>
      <c r="BC46" s="8">
        <v>0</v>
      </c>
      <c r="BD46" s="8">
        <v>0</v>
      </c>
      <c r="BE46" s="8">
        <v>-1.0000000000000002</v>
      </c>
      <c r="BF46" s="25">
        <v>0</v>
      </c>
      <c r="BH46" s="24">
        <v>0</v>
      </c>
      <c r="BI46" s="8">
        <v>0</v>
      </c>
      <c r="BJ46" s="8">
        <v>0</v>
      </c>
      <c r="BK46" s="8">
        <f t="shared" ref="BK46:BM48" si="7">BH51</f>
        <v>0.400000044760011</v>
      </c>
      <c r="BL46" s="8">
        <f t="shared" si="7"/>
        <v>0.69282040055416405</v>
      </c>
      <c r="BM46" s="9">
        <f t="shared" si="7"/>
        <v>-0.59999988063995213</v>
      </c>
      <c r="BN46" s="8"/>
      <c r="BO46" s="7">
        <v>0</v>
      </c>
      <c r="BP46" s="8">
        <v>0</v>
      </c>
      <c r="BQ46" s="8">
        <v>0</v>
      </c>
      <c r="BR46" s="8">
        <v>0.400000044760011</v>
      </c>
      <c r="BS46" s="8">
        <v>-0.8660254037844386</v>
      </c>
      <c r="BT46" s="25">
        <v>0.29999994031997607</v>
      </c>
    </row>
    <row r="47" spans="14:72" x14ac:dyDescent="0.3">
      <c r="R47" s="24">
        <v>0</v>
      </c>
      <c r="S47" s="8">
        <v>0</v>
      </c>
      <c r="T47" s="8">
        <v>0</v>
      </c>
      <c r="U47" s="8">
        <f>R52</f>
        <v>-0.8660254037844386</v>
      </c>
      <c r="V47" s="8">
        <f t="shared" si="4"/>
        <v>-0.5</v>
      </c>
      <c r="W47" s="9">
        <f t="shared" si="4"/>
        <v>0</v>
      </c>
      <c r="X47" s="8"/>
      <c r="Y47" s="7">
        <v>0</v>
      </c>
      <c r="Z47" s="8">
        <v>0</v>
      </c>
      <c r="AA47" s="8">
        <v>0</v>
      </c>
      <c r="AB47" s="8">
        <v>0.8660254037844386</v>
      </c>
      <c r="AC47" s="8">
        <v>-0.5</v>
      </c>
      <c r="AD47" s="25">
        <v>0</v>
      </c>
      <c r="AF47" s="24">
        <v>0</v>
      </c>
      <c r="AG47" s="8">
        <v>0</v>
      </c>
      <c r="AH47" s="8">
        <v>0</v>
      </c>
      <c r="AI47" s="8">
        <f t="shared" si="5"/>
        <v>-0.5</v>
      </c>
      <c r="AJ47" s="8">
        <f t="shared" si="5"/>
        <v>0.86602540378443871</v>
      </c>
      <c r="AK47" s="9">
        <f t="shared" si="5"/>
        <v>0</v>
      </c>
      <c r="AL47" s="8"/>
      <c r="AM47" s="7">
        <v>0</v>
      </c>
      <c r="AN47" s="8">
        <v>0</v>
      </c>
      <c r="AO47" s="8">
        <v>0</v>
      </c>
      <c r="AP47" s="8">
        <v>0.5</v>
      </c>
      <c r="AQ47" s="8">
        <v>0.86602540378443871</v>
      </c>
      <c r="AR47" s="25">
        <v>0</v>
      </c>
      <c r="AT47" s="24">
        <v>0</v>
      </c>
      <c r="AU47" s="8">
        <v>0</v>
      </c>
      <c r="AV47" s="8">
        <v>0</v>
      </c>
      <c r="AW47" s="8">
        <f t="shared" si="6"/>
        <v>-1.0000000000000002</v>
      </c>
      <c r="AX47" s="8">
        <f t="shared" si="6"/>
        <v>0</v>
      </c>
      <c r="AY47" s="9">
        <f t="shared" si="6"/>
        <v>0</v>
      </c>
      <c r="AZ47" s="8"/>
      <c r="BA47" s="7">
        <v>0</v>
      </c>
      <c r="BB47" s="8">
        <v>0</v>
      </c>
      <c r="BC47" s="8">
        <v>0</v>
      </c>
      <c r="BD47" s="8">
        <v>0.86602550473054252</v>
      </c>
      <c r="BE47" s="8">
        <v>0</v>
      </c>
      <c r="BF47" s="25">
        <v>0.4999998251561788</v>
      </c>
      <c r="BH47" s="24">
        <v>0</v>
      </c>
      <c r="BI47" s="8">
        <v>0</v>
      </c>
      <c r="BJ47" s="8">
        <v>0</v>
      </c>
      <c r="BK47" s="8">
        <f t="shared" si="7"/>
        <v>-0.8660254037844386</v>
      </c>
      <c r="BL47" s="8">
        <f t="shared" si="7"/>
        <v>0.5</v>
      </c>
      <c r="BM47" s="9">
        <f t="shared" si="7"/>
        <v>0</v>
      </c>
      <c r="BN47" s="8"/>
      <c r="BO47" s="7">
        <v>0</v>
      </c>
      <c r="BP47" s="8">
        <v>0</v>
      </c>
      <c r="BQ47" s="8">
        <v>0</v>
      </c>
      <c r="BR47" s="8">
        <v>0.69282040055416405</v>
      </c>
      <c r="BS47" s="8">
        <v>0.5</v>
      </c>
      <c r="BT47" s="25">
        <v>0.51961513890182953</v>
      </c>
    </row>
    <row r="48" spans="14:72" x14ac:dyDescent="0.3">
      <c r="R48" s="28">
        <v>0</v>
      </c>
      <c r="S48" s="11">
        <v>0</v>
      </c>
      <c r="T48" s="11">
        <v>0</v>
      </c>
      <c r="U48" s="11">
        <f>R53</f>
        <v>0</v>
      </c>
      <c r="V48" s="11">
        <f t="shared" si="4"/>
        <v>0</v>
      </c>
      <c r="W48" s="12">
        <f t="shared" si="4"/>
        <v>1</v>
      </c>
      <c r="X48" s="8"/>
      <c r="Y48" s="10">
        <v>0</v>
      </c>
      <c r="Z48" s="11">
        <v>0</v>
      </c>
      <c r="AA48" s="11">
        <v>0</v>
      </c>
      <c r="AB48" s="11">
        <v>0</v>
      </c>
      <c r="AC48" s="11">
        <v>0</v>
      </c>
      <c r="AD48" s="29">
        <v>1</v>
      </c>
      <c r="AF48" s="28">
        <v>0</v>
      </c>
      <c r="AG48" s="11">
        <v>0</v>
      </c>
      <c r="AH48" s="11">
        <v>0</v>
      </c>
      <c r="AI48" s="11">
        <f t="shared" si="5"/>
        <v>0</v>
      </c>
      <c r="AJ48" s="11">
        <f t="shared" si="5"/>
        <v>0</v>
      </c>
      <c r="AK48" s="12">
        <f t="shared" si="5"/>
        <v>1</v>
      </c>
      <c r="AL48" s="8"/>
      <c r="AM48" s="10">
        <v>0</v>
      </c>
      <c r="AN48" s="11">
        <v>0</v>
      </c>
      <c r="AO48" s="11">
        <v>0</v>
      </c>
      <c r="AP48" s="11">
        <v>0</v>
      </c>
      <c r="AQ48" s="11">
        <v>0</v>
      </c>
      <c r="AR48" s="29">
        <v>1</v>
      </c>
      <c r="AT48" s="28">
        <v>0</v>
      </c>
      <c r="AU48" s="11">
        <v>0</v>
      </c>
      <c r="AV48" s="11">
        <v>0</v>
      </c>
      <c r="AW48" s="11">
        <f t="shared" si="6"/>
        <v>0</v>
      </c>
      <c r="AX48" s="11">
        <f t="shared" si="6"/>
        <v>0.4999998251561788</v>
      </c>
      <c r="AY48" s="12">
        <f t="shared" si="6"/>
        <v>0.86602550473054229</v>
      </c>
      <c r="AZ48" s="8"/>
      <c r="BA48" s="10">
        <v>0</v>
      </c>
      <c r="BB48" s="11">
        <v>0</v>
      </c>
      <c r="BC48" s="11">
        <v>0</v>
      </c>
      <c r="BD48" s="11">
        <v>-0.49999982515617869</v>
      </c>
      <c r="BE48" s="11">
        <v>0</v>
      </c>
      <c r="BF48" s="29">
        <v>0.86602550473054229</v>
      </c>
      <c r="BH48" s="28">
        <v>0</v>
      </c>
      <c r="BI48" s="11">
        <v>0</v>
      </c>
      <c r="BJ48" s="11">
        <v>0</v>
      </c>
      <c r="BK48" s="11">
        <f t="shared" si="7"/>
        <v>0.29999994031997607</v>
      </c>
      <c r="BL48" s="11">
        <f t="shared" si="7"/>
        <v>0.51961513890182953</v>
      </c>
      <c r="BM48" s="12">
        <f t="shared" si="7"/>
        <v>0.800000089520022</v>
      </c>
      <c r="BN48" s="8"/>
      <c r="BO48" s="10">
        <v>0</v>
      </c>
      <c r="BP48" s="11">
        <v>0</v>
      </c>
      <c r="BQ48" s="11">
        <v>0</v>
      </c>
      <c r="BR48" s="11">
        <v>-0.59999988063995213</v>
      </c>
      <c r="BS48" s="11">
        <v>0</v>
      </c>
      <c r="BT48" s="29">
        <v>0.800000089520022</v>
      </c>
    </row>
    <row r="49" spans="18:72" x14ac:dyDescent="0.3">
      <c r="R49" s="24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25"/>
      <c r="AF49" s="24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25"/>
      <c r="AT49" s="24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25"/>
      <c r="BH49" s="24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25"/>
    </row>
    <row r="50" spans="18:72" x14ac:dyDescent="0.3">
      <c r="R50" s="24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25"/>
      <c r="AF50" s="2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25"/>
      <c r="AT50" s="24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25"/>
      <c r="BH50" s="24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25"/>
    </row>
    <row r="51" spans="18:72" x14ac:dyDescent="0.3">
      <c r="R51" s="41">
        <f>Q12*S12</f>
        <v>-0.5</v>
      </c>
      <c r="S51" s="42">
        <f>P12*S12</f>
        <v>0.8660254037844386</v>
      </c>
      <c r="T51" s="43">
        <f>-R12</f>
        <v>0</v>
      </c>
      <c r="U51" s="8"/>
      <c r="V51" s="8"/>
      <c r="W51" s="8"/>
      <c r="X51" s="8"/>
      <c r="Y51" s="8"/>
      <c r="Z51" s="8"/>
      <c r="AA51" s="8"/>
      <c r="AB51" s="8"/>
      <c r="AC51" s="8"/>
      <c r="AD51" s="25"/>
      <c r="AF51" s="33">
        <f>Q13*S13</f>
        <v>0.86602540378443871</v>
      </c>
      <c r="AG51" s="14">
        <f>P13*S13</f>
        <v>0.5</v>
      </c>
      <c r="AH51" s="15">
        <f>-R13</f>
        <v>0</v>
      </c>
      <c r="AI51" s="8"/>
      <c r="AJ51" s="8"/>
      <c r="AK51" s="8"/>
      <c r="AL51" s="8"/>
      <c r="AM51" s="8"/>
      <c r="AN51" s="8"/>
      <c r="AO51" s="8"/>
      <c r="AP51" s="8"/>
      <c r="AQ51" s="8"/>
      <c r="AR51" s="25"/>
      <c r="AT51" s="33">
        <f>Q14*S14</f>
        <v>0</v>
      </c>
      <c r="AU51" s="14">
        <f>P14*S14</f>
        <v>0.86602550473054252</v>
      </c>
      <c r="AV51" s="15">
        <f>-R14</f>
        <v>-0.49999982515617869</v>
      </c>
      <c r="AW51" s="8"/>
      <c r="AX51" s="8"/>
      <c r="AY51" s="8"/>
      <c r="AZ51" s="8"/>
      <c r="BA51" s="8"/>
      <c r="BB51" s="8"/>
      <c r="BC51" s="8"/>
      <c r="BD51" s="8"/>
      <c r="BE51" s="8"/>
      <c r="BF51" s="25"/>
      <c r="BH51" s="33">
        <f>Q15*S15</f>
        <v>0.400000044760011</v>
      </c>
      <c r="BI51" s="14">
        <f>P15*S15</f>
        <v>0.69282040055416405</v>
      </c>
      <c r="BJ51" s="15">
        <f>-R15</f>
        <v>-0.59999988063995213</v>
      </c>
      <c r="BK51" s="8"/>
      <c r="BL51" s="8"/>
      <c r="BM51" s="8"/>
      <c r="BN51" s="8"/>
      <c r="BO51" s="8"/>
      <c r="BP51" s="8"/>
      <c r="BQ51" s="8"/>
      <c r="BR51" s="8"/>
      <c r="BS51" s="8"/>
      <c r="BT51" s="25"/>
    </row>
    <row r="52" spans="18:72" x14ac:dyDescent="0.3">
      <c r="R52" s="44">
        <f>-P12</f>
        <v>-0.8660254037844386</v>
      </c>
      <c r="S52" s="45">
        <f>Q12</f>
        <v>-0.5</v>
      </c>
      <c r="T52" s="46">
        <f>0</f>
        <v>0</v>
      </c>
      <c r="U52" s="8"/>
      <c r="V52" s="8"/>
      <c r="W52" s="8"/>
      <c r="X52" s="8"/>
      <c r="Y52" s="8"/>
      <c r="Z52" s="8"/>
      <c r="AA52" s="8"/>
      <c r="AB52" s="8"/>
      <c r="AC52" s="8"/>
      <c r="AD52" s="25"/>
      <c r="AF52" s="34">
        <f>-P13</f>
        <v>-0.5</v>
      </c>
      <c r="AG52" s="16">
        <f>Q13</f>
        <v>0.86602540378443871</v>
      </c>
      <c r="AH52" s="17">
        <f>0</f>
        <v>0</v>
      </c>
      <c r="AI52" s="8"/>
      <c r="AJ52" s="8"/>
      <c r="AK52" s="8"/>
      <c r="AL52" s="8"/>
      <c r="AM52" s="8"/>
      <c r="AN52" s="8"/>
      <c r="AO52" s="8"/>
      <c r="AP52" s="8"/>
      <c r="AQ52" s="8"/>
      <c r="AR52" s="25"/>
      <c r="AT52" s="34">
        <f>-P14</f>
        <v>-1.0000000000000002</v>
      </c>
      <c r="AU52" s="16">
        <f>Q14</f>
        <v>0</v>
      </c>
      <c r="AV52" s="17">
        <v>0</v>
      </c>
      <c r="AW52" s="8"/>
      <c r="AX52" s="8"/>
      <c r="AY52" s="8"/>
      <c r="AZ52" s="8"/>
      <c r="BA52" s="8"/>
      <c r="BB52" s="8"/>
      <c r="BC52" s="8"/>
      <c r="BD52" s="8"/>
      <c r="BE52" s="8"/>
      <c r="BF52" s="25"/>
      <c r="BH52" s="34">
        <f>-P15</f>
        <v>-0.8660254037844386</v>
      </c>
      <c r="BI52" s="16">
        <f>Q15</f>
        <v>0.5</v>
      </c>
      <c r="BJ52" s="17">
        <v>0</v>
      </c>
      <c r="BK52" s="8"/>
      <c r="BL52" s="8"/>
      <c r="BM52" s="8"/>
      <c r="BN52" s="8"/>
      <c r="BO52" s="8"/>
      <c r="BP52" s="8"/>
      <c r="BQ52" s="8"/>
      <c r="BR52" s="8"/>
      <c r="BS52" s="8"/>
      <c r="BT52" s="25"/>
    </row>
    <row r="53" spans="18:72" x14ac:dyDescent="0.3">
      <c r="R53" s="47">
        <f>Q12*R12</f>
        <v>0</v>
      </c>
      <c r="S53" s="48">
        <f>P12*R12</f>
        <v>0</v>
      </c>
      <c r="T53" s="49">
        <f>S12</f>
        <v>1</v>
      </c>
      <c r="U53" s="8"/>
      <c r="V53" s="8"/>
      <c r="W53" s="8"/>
      <c r="X53" s="8"/>
      <c r="Y53" s="8"/>
      <c r="Z53" s="8"/>
      <c r="AA53" s="8"/>
      <c r="AB53" s="8"/>
      <c r="AC53" s="8"/>
      <c r="AD53" s="25"/>
      <c r="AF53" s="35">
        <f>Q13*R13</f>
        <v>0</v>
      </c>
      <c r="AG53" s="18">
        <f>P13*R13</f>
        <v>0</v>
      </c>
      <c r="AH53" s="19">
        <f>S13</f>
        <v>1</v>
      </c>
      <c r="AI53" s="8"/>
      <c r="AJ53" s="8"/>
      <c r="AK53" s="8"/>
      <c r="AL53" s="8"/>
      <c r="AM53" s="8"/>
      <c r="AN53" s="8"/>
      <c r="AO53" s="8"/>
      <c r="AP53" s="8"/>
      <c r="AQ53" s="8"/>
      <c r="AR53" s="25"/>
      <c r="AT53" s="35">
        <f>Q14*R14</f>
        <v>0</v>
      </c>
      <c r="AU53" s="18">
        <f>P14*R14</f>
        <v>0.4999998251561788</v>
      </c>
      <c r="AV53" s="19">
        <f>S14</f>
        <v>0.86602550473054229</v>
      </c>
      <c r="AW53" s="8"/>
      <c r="AX53" s="8"/>
      <c r="AY53" s="8"/>
      <c r="AZ53" s="8"/>
      <c r="BA53" s="8"/>
      <c r="BB53" s="8"/>
      <c r="BC53" s="8"/>
      <c r="BD53" s="8"/>
      <c r="BE53" s="8"/>
      <c r="BF53" s="25"/>
      <c r="BH53" s="35">
        <f>Q15*R15</f>
        <v>0.29999994031997607</v>
      </c>
      <c r="BI53" s="18">
        <f>P15*R15</f>
        <v>0.51961513890182953</v>
      </c>
      <c r="BJ53" s="19">
        <f>S15</f>
        <v>0.800000089520022</v>
      </c>
      <c r="BK53" s="8"/>
      <c r="BL53" s="8"/>
      <c r="BM53" s="8"/>
      <c r="BN53" s="8"/>
      <c r="BO53" s="8"/>
      <c r="BP53" s="8"/>
      <c r="BQ53" s="8"/>
      <c r="BR53" s="8"/>
      <c r="BS53" s="8"/>
      <c r="BT53" s="25"/>
    </row>
    <row r="54" spans="18:72" x14ac:dyDescent="0.3">
      <c r="R54" s="24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25"/>
      <c r="AF54" s="24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25"/>
      <c r="AT54" s="24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25"/>
      <c r="BH54" s="24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25"/>
    </row>
    <row r="55" spans="18:72" x14ac:dyDescent="0.3">
      <c r="R55" s="24"/>
      <c r="S55" s="8"/>
      <c r="T55" s="8"/>
      <c r="U55" s="8"/>
      <c r="V55" s="8"/>
      <c r="W55" s="8"/>
      <c r="X55" s="8"/>
      <c r="Y55" s="8" t="s">
        <v>30</v>
      </c>
      <c r="Z55" s="8"/>
      <c r="AA55" s="8"/>
      <c r="AB55" s="8"/>
      <c r="AC55" s="8"/>
      <c r="AD55" s="25"/>
      <c r="AF55" s="24"/>
      <c r="AG55" s="8"/>
      <c r="AH55" s="8"/>
      <c r="AI55" s="8"/>
      <c r="AJ55" s="8"/>
      <c r="AK55" s="8"/>
      <c r="AL55" s="8"/>
      <c r="AM55" s="8" t="s">
        <v>34</v>
      </c>
      <c r="AN55" s="8"/>
      <c r="AO55" s="8"/>
      <c r="AP55" s="8"/>
      <c r="AQ55" s="8"/>
      <c r="AR55" s="25"/>
      <c r="AT55" s="24"/>
      <c r="AU55" s="8"/>
      <c r="AV55" s="8"/>
      <c r="AW55" s="8"/>
      <c r="AX55" s="8"/>
      <c r="AY55" s="8"/>
      <c r="AZ55" s="8"/>
      <c r="BA55" s="8" t="s">
        <v>37</v>
      </c>
      <c r="BB55" s="8"/>
      <c r="BC55" s="8"/>
      <c r="BD55" s="8"/>
      <c r="BE55" s="8"/>
      <c r="BF55" s="25"/>
      <c r="BH55" s="24"/>
      <c r="BI55" s="8"/>
      <c r="BJ55" s="8"/>
      <c r="BK55" s="8"/>
      <c r="BL55" s="8"/>
      <c r="BM55" s="8"/>
      <c r="BN55" s="8"/>
      <c r="BO55" s="8" t="s">
        <v>40</v>
      </c>
      <c r="BP55" s="8"/>
      <c r="BQ55" s="8"/>
      <c r="BR55" s="8"/>
      <c r="BS55" s="8"/>
      <c r="BT55" s="25"/>
    </row>
    <row r="56" spans="18:72" x14ac:dyDescent="0.3">
      <c r="R56" s="24" t="s">
        <v>52</v>
      </c>
      <c r="S56" s="8"/>
      <c r="T56" s="8"/>
      <c r="U56" s="8"/>
      <c r="V56" s="8"/>
      <c r="W56" s="8"/>
      <c r="X56" s="8"/>
      <c r="Y56">
        <v>1</v>
      </c>
      <c r="Z56" s="8">
        <v>2</v>
      </c>
      <c r="AA56" s="8">
        <v>3</v>
      </c>
      <c r="AB56" s="50">
        <v>13</v>
      </c>
      <c r="AC56" s="50">
        <v>14</v>
      </c>
      <c r="AD56" s="25">
        <v>15</v>
      </c>
      <c r="AF56" s="24"/>
      <c r="AG56" s="8"/>
      <c r="AH56" s="8"/>
      <c r="AI56" s="8"/>
      <c r="AJ56" s="8"/>
      <c r="AK56" s="8"/>
      <c r="AL56" s="8"/>
      <c r="AM56">
        <v>4</v>
      </c>
      <c r="AN56" s="8">
        <v>5</v>
      </c>
      <c r="AO56" s="8">
        <v>6</v>
      </c>
      <c r="AP56" s="50">
        <v>13</v>
      </c>
      <c r="AQ56" s="50">
        <v>14</v>
      </c>
      <c r="AR56" s="25">
        <v>15</v>
      </c>
      <c r="AT56" s="24"/>
      <c r="AU56" s="8"/>
      <c r="AV56" s="8"/>
      <c r="AW56" s="8"/>
      <c r="AX56" s="8"/>
      <c r="AY56" s="8"/>
      <c r="AZ56" s="8"/>
      <c r="BA56">
        <v>7</v>
      </c>
      <c r="BB56" s="8">
        <v>8</v>
      </c>
      <c r="BC56" s="8">
        <v>9</v>
      </c>
      <c r="BD56" s="50">
        <v>13</v>
      </c>
      <c r="BE56" s="50">
        <v>14</v>
      </c>
      <c r="BF56" s="25">
        <v>15</v>
      </c>
      <c r="BH56" s="24"/>
      <c r="BI56" s="8"/>
      <c r="BJ56" s="8"/>
      <c r="BK56" s="8"/>
      <c r="BL56" s="8"/>
      <c r="BM56" s="8"/>
      <c r="BN56" s="8"/>
      <c r="BO56">
        <v>10</v>
      </c>
      <c r="BP56" s="8">
        <v>11</v>
      </c>
      <c r="BQ56" s="8">
        <v>12</v>
      </c>
      <c r="BR56" s="50">
        <v>13</v>
      </c>
      <c r="BS56" s="50">
        <v>14</v>
      </c>
      <c r="BT56" s="25">
        <v>15</v>
      </c>
    </row>
    <row r="57" spans="18:72" x14ac:dyDescent="0.3">
      <c r="R57" s="4">
        <f t="array" ref="R57:W62">MMULT(Y43:AD48,R30:W35)</f>
        <v>-0.25</v>
      </c>
      <c r="S57" s="5">
        <v>0</v>
      </c>
      <c r="T57" s="5">
        <v>0</v>
      </c>
      <c r="U57" s="5">
        <v>0.25</v>
      </c>
      <c r="V57" s="5">
        <v>0</v>
      </c>
      <c r="W57" s="6">
        <v>0</v>
      </c>
      <c r="X57">
        <v>1</v>
      </c>
      <c r="Y57" s="38">
        <f t="array" ref="Y57:AD62">MMULT(R57:W62,R43:W48)</f>
        <v>0.125</v>
      </c>
      <c r="Z57" s="39">
        <v>-0.21650635094610965</v>
      </c>
      <c r="AA57" s="39">
        <v>0</v>
      </c>
      <c r="AB57" s="5">
        <v>-0.125</v>
      </c>
      <c r="AC57" s="5">
        <v>0.21650635094610965</v>
      </c>
      <c r="AD57" s="6">
        <v>0</v>
      </c>
      <c r="AF57" s="4">
        <f t="array" ref="AF57:AK62">MMULT(AM43:AR48,AF30:AK35)</f>
        <v>0.25000000000000006</v>
      </c>
      <c r="AG57" s="5">
        <v>0</v>
      </c>
      <c r="AH57" s="5">
        <v>0</v>
      </c>
      <c r="AI57" s="5">
        <v>-0.25000000000000006</v>
      </c>
      <c r="AJ57" s="5">
        <v>0</v>
      </c>
      <c r="AK57" s="6">
        <v>0</v>
      </c>
      <c r="AL57">
        <v>4</v>
      </c>
      <c r="AM57" s="38">
        <f t="array" ref="AM57:AR62">MMULT(AF57:AK62,AF43:AK48)</f>
        <v>0.21650635094610973</v>
      </c>
      <c r="AN57" s="39">
        <v>0.12500000000000003</v>
      </c>
      <c r="AO57" s="39">
        <v>0</v>
      </c>
      <c r="AP57" s="5">
        <v>-0.21650635094610973</v>
      </c>
      <c r="AQ57" s="5">
        <v>-0.12500000000000003</v>
      </c>
      <c r="AR57" s="6">
        <v>0</v>
      </c>
      <c r="AT57" s="4">
        <f t="array" ref="AT57:AY62">MMULT(BA43:BF48,AT30:AY35)</f>
        <v>0</v>
      </c>
      <c r="AU57" s="5">
        <v>0</v>
      </c>
      <c r="AV57" s="5">
        <v>0</v>
      </c>
      <c r="AW57" s="5">
        <v>0</v>
      </c>
      <c r="AX57" s="5">
        <v>0</v>
      </c>
      <c r="AY57" s="6">
        <v>0</v>
      </c>
      <c r="AZ57" s="8">
        <v>7</v>
      </c>
      <c r="BA57" s="38">
        <f t="array" ref="BA57:BF62">MMULT(AT57:AY62,AT43:AY48)</f>
        <v>0</v>
      </c>
      <c r="BB57" s="39">
        <v>0</v>
      </c>
      <c r="BC57" s="39">
        <v>0</v>
      </c>
      <c r="BD57" s="5">
        <v>0</v>
      </c>
      <c r="BE57" s="5">
        <v>0</v>
      </c>
      <c r="BF57" s="6">
        <v>0</v>
      </c>
      <c r="BH57" s="4">
        <f t="array" ref="BH57:BM62">MMULT(BO43:BT48,BH30:BM35)</f>
        <v>0.16000003580801081</v>
      </c>
      <c r="BI57" s="5">
        <v>0</v>
      </c>
      <c r="BJ57" s="5">
        <v>0</v>
      </c>
      <c r="BK57" s="5">
        <v>-0.16000003580801081</v>
      </c>
      <c r="BL57" s="5">
        <v>0</v>
      </c>
      <c r="BM57" s="6">
        <v>0</v>
      </c>
      <c r="BN57" s="8">
        <f t="array" ref="BN57:BN62">TRANSPOSE(BO56:BT56)</f>
        <v>10</v>
      </c>
      <c r="BO57" s="38">
        <f t="array" ref="BO57:BT62">MMULT(BH57:BM62,BH43:BM48)</f>
        <v>6.4000021484807684E-2</v>
      </c>
      <c r="BP57" s="39">
        <v>0.11085128889718664</v>
      </c>
      <c r="BQ57" s="39">
        <v>-9.6000002387194555E-2</v>
      </c>
      <c r="BR57" s="5">
        <v>-6.4000021484807684E-2</v>
      </c>
      <c r="BS57" s="5">
        <v>-0.11085128889718664</v>
      </c>
      <c r="BT57" s="6">
        <v>9.6000002387194555E-2</v>
      </c>
    </row>
    <row r="58" spans="18:72" x14ac:dyDescent="0.3">
      <c r="R58" s="7">
        <v>0.4330127018922193</v>
      </c>
      <c r="S58" s="8">
        <v>0</v>
      </c>
      <c r="T58" s="8">
        <v>0</v>
      </c>
      <c r="U58" s="8">
        <v>-0.4330127018922193</v>
      </c>
      <c r="V58" s="8">
        <v>0</v>
      </c>
      <c r="W58" s="9">
        <v>0</v>
      </c>
      <c r="X58">
        <v>2</v>
      </c>
      <c r="Y58" s="40">
        <v>-0.21650635094610965</v>
      </c>
      <c r="Z58" s="30">
        <v>0.37499999999999994</v>
      </c>
      <c r="AA58" s="30">
        <v>0</v>
      </c>
      <c r="AB58" s="8">
        <v>0.21650635094610965</v>
      </c>
      <c r="AC58" s="8">
        <v>-0.37499999999999994</v>
      </c>
      <c r="AD58" s="9">
        <v>0</v>
      </c>
      <c r="AF58" s="7">
        <v>0.14433756729740646</v>
      </c>
      <c r="AG58" s="8">
        <v>0</v>
      </c>
      <c r="AH58" s="8">
        <v>0</v>
      </c>
      <c r="AI58" s="8">
        <v>-0.14433756729740646</v>
      </c>
      <c r="AJ58" s="8">
        <v>0</v>
      </c>
      <c r="AK58" s="9">
        <v>0</v>
      </c>
      <c r="AL58">
        <v>5</v>
      </c>
      <c r="AM58" s="40">
        <v>0.12500000000000003</v>
      </c>
      <c r="AN58" s="30">
        <v>7.216878364870323E-2</v>
      </c>
      <c r="AO58" s="30">
        <v>0</v>
      </c>
      <c r="AP58" s="8">
        <v>-0.12500000000000003</v>
      </c>
      <c r="AQ58" s="8">
        <v>-7.216878364870323E-2</v>
      </c>
      <c r="AR58" s="9">
        <v>0</v>
      </c>
      <c r="AT58" s="7">
        <v>0.4330128028383291</v>
      </c>
      <c r="AU58" s="8">
        <v>0</v>
      </c>
      <c r="AV58" s="8">
        <v>0</v>
      </c>
      <c r="AW58" s="8">
        <v>-0.4330128028383291</v>
      </c>
      <c r="AX58" s="8">
        <v>0</v>
      </c>
      <c r="AY58" s="9">
        <v>0</v>
      </c>
      <c r="AZ58" s="8">
        <v>8</v>
      </c>
      <c r="BA58" s="40">
        <v>0</v>
      </c>
      <c r="BB58" s="30">
        <v>0.37500013113285086</v>
      </c>
      <c r="BC58" s="30">
        <v>-0.21650632570955142</v>
      </c>
      <c r="BD58" s="8">
        <v>0</v>
      </c>
      <c r="BE58" s="8">
        <v>-0.37500013113285086</v>
      </c>
      <c r="BF58" s="9">
        <v>0.21650632570955142</v>
      </c>
      <c r="BH58" s="7">
        <v>0.27712819123231436</v>
      </c>
      <c r="BI58" s="8">
        <v>0</v>
      </c>
      <c r="BJ58" s="8">
        <v>0</v>
      </c>
      <c r="BK58" s="8">
        <v>-0.27712819123231436</v>
      </c>
      <c r="BL58" s="8">
        <v>0</v>
      </c>
      <c r="BM58" s="9">
        <v>0</v>
      </c>
      <c r="BN58" s="8">
        <v>11</v>
      </c>
      <c r="BO58" s="40">
        <v>0.11085128889718664</v>
      </c>
      <c r="BP58" s="30">
        <v>0.192000064454423</v>
      </c>
      <c r="BQ58" s="30">
        <v>-0.16627688166135443</v>
      </c>
      <c r="BR58" s="8">
        <v>-0.11085128889718664</v>
      </c>
      <c r="BS58" s="8">
        <v>-0.192000064454423</v>
      </c>
      <c r="BT58" s="9">
        <v>0.16627688166135443</v>
      </c>
    </row>
    <row r="59" spans="18:72" x14ac:dyDescent="0.3">
      <c r="R59" s="7">
        <v>0</v>
      </c>
      <c r="S59" s="8">
        <v>0</v>
      </c>
      <c r="T59" s="8">
        <v>0</v>
      </c>
      <c r="U59" s="8">
        <v>0</v>
      </c>
      <c r="V59" s="8">
        <v>0</v>
      </c>
      <c r="W59" s="9">
        <v>0</v>
      </c>
      <c r="X59">
        <v>3</v>
      </c>
      <c r="Y59" s="40">
        <v>0</v>
      </c>
      <c r="Z59" s="30">
        <v>0</v>
      </c>
      <c r="AA59" s="30">
        <v>0</v>
      </c>
      <c r="AB59" s="8">
        <v>0</v>
      </c>
      <c r="AC59" s="8">
        <v>0</v>
      </c>
      <c r="AD59" s="9">
        <v>0</v>
      </c>
      <c r="AF59" s="7">
        <v>0</v>
      </c>
      <c r="AG59" s="8">
        <v>0</v>
      </c>
      <c r="AH59" s="8">
        <v>0</v>
      </c>
      <c r="AI59" s="8">
        <v>0</v>
      </c>
      <c r="AJ59" s="8">
        <v>0</v>
      </c>
      <c r="AK59" s="9">
        <v>0</v>
      </c>
      <c r="AL59">
        <v>6</v>
      </c>
      <c r="AM59" s="40">
        <v>0</v>
      </c>
      <c r="AN59" s="30">
        <v>0</v>
      </c>
      <c r="AO59" s="30">
        <v>0</v>
      </c>
      <c r="AP59" s="8">
        <v>0</v>
      </c>
      <c r="AQ59" s="8">
        <v>0</v>
      </c>
      <c r="AR59" s="9">
        <v>0</v>
      </c>
      <c r="AT59" s="7">
        <v>-0.24999994171870929</v>
      </c>
      <c r="AU59" s="8">
        <v>0</v>
      </c>
      <c r="AV59" s="8">
        <v>0</v>
      </c>
      <c r="AW59" s="8">
        <v>0.24999994171870929</v>
      </c>
      <c r="AX59" s="8">
        <v>0</v>
      </c>
      <c r="AY59" s="9">
        <v>0</v>
      </c>
      <c r="AZ59" s="8">
        <v>9</v>
      </c>
      <c r="BA59" s="40">
        <v>0</v>
      </c>
      <c r="BB59" s="30">
        <v>-0.21650632570955142</v>
      </c>
      <c r="BC59" s="30">
        <v>0.1249999271484095</v>
      </c>
      <c r="BD59" s="8">
        <v>0</v>
      </c>
      <c r="BE59" s="8">
        <v>0.21650632570955142</v>
      </c>
      <c r="BF59" s="9">
        <v>-0.1249999271484095</v>
      </c>
      <c r="BH59" s="7">
        <v>-0.23999997911198212</v>
      </c>
      <c r="BI59" s="8">
        <v>0</v>
      </c>
      <c r="BJ59" s="8">
        <v>0</v>
      </c>
      <c r="BK59" s="8">
        <v>0.23999997911198212</v>
      </c>
      <c r="BL59" s="8">
        <v>0</v>
      </c>
      <c r="BM59" s="9">
        <v>0</v>
      </c>
      <c r="BN59" s="8">
        <v>12</v>
      </c>
      <c r="BO59" s="40">
        <v>-9.6000002387194555E-2</v>
      </c>
      <c r="BP59" s="30">
        <v>-0.16627688166135446</v>
      </c>
      <c r="BQ59" s="30">
        <v>0.14399995882078029</v>
      </c>
      <c r="BR59" s="8">
        <v>9.6000002387194555E-2</v>
      </c>
      <c r="BS59" s="8">
        <v>0.16627688166135446</v>
      </c>
      <c r="BT59" s="9">
        <v>-0.14399995882078029</v>
      </c>
    </row>
    <row r="60" spans="18:72" x14ac:dyDescent="0.3">
      <c r="R60" s="7">
        <v>0.25</v>
      </c>
      <c r="S60" s="8">
        <v>0</v>
      </c>
      <c r="T60" s="8">
        <v>0</v>
      </c>
      <c r="U60" s="8">
        <v>-0.25</v>
      </c>
      <c r="V60" s="8">
        <v>0</v>
      </c>
      <c r="W60" s="9">
        <v>0</v>
      </c>
      <c r="X60">
        <v>13</v>
      </c>
      <c r="Y60" s="7">
        <v>-0.125</v>
      </c>
      <c r="Z60" s="8">
        <v>0.21650635094610965</v>
      </c>
      <c r="AA60" s="8">
        <v>0</v>
      </c>
      <c r="AB60" s="16">
        <v>0.125</v>
      </c>
      <c r="AC60" s="16">
        <v>-0.21650635094610965</v>
      </c>
      <c r="AD60" s="17">
        <v>0</v>
      </c>
      <c r="AF60" s="7">
        <v>-0.25000000000000006</v>
      </c>
      <c r="AG60" s="8">
        <v>0</v>
      </c>
      <c r="AH60" s="8">
        <v>0</v>
      </c>
      <c r="AI60" s="8">
        <v>0.25000000000000006</v>
      </c>
      <c r="AJ60" s="8">
        <v>0</v>
      </c>
      <c r="AK60" s="9">
        <v>0</v>
      </c>
      <c r="AL60">
        <v>13</v>
      </c>
      <c r="AM60" s="7">
        <v>-0.21650635094610973</v>
      </c>
      <c r="AN60" s="8">
        <v>-0.12500000000000003</v>
      </c>
      <c r="AO60" s="8">
        <v>0</v>
      </c>
      <c r="AP60" s="16">
        <v>0.21650635094610973</v>
      </c>
      <c r="AQ60" s="16">
        <v>0.12500000000000003</v>
      </c>
      <c r="AR60" s="17">
        <v>0</v>
      </c>
      <c r="AT60" s="7">
        <v>0</v>
      </c>
      <c r="AU60" s="8">
        <v>0</v>
      </c>
      <c r="AV60" s="8">
        <v>0</v>
      </c>
      <c r="AW60" s="8">
        <v>0</v>
      </c>
      <c r="AX60" s="8">
        <v>0</v>
      </c>
      <c r="AY60" s="9">
        <v>0</v>
      </c>
      <c r="AZ60">
        <v>13</v>
      </c>
      <c r="BA60" s="7">
        <v>0</v>
      </c>
      <c r="BB60" s="8">
        <v>0</v>
      </c>
      <c r="BC60" s="8">
        <v>0</v>
      </c>
      <c r="BD60" s="16">
        <v>0</v>
      </c>
      <c r="BE60" s="16">
        <v>0</v>
      </c>
      <c r="BF60" s="17">
        <v>0</v>
      </c>
      <c r="BH60" s="7">
        <v>-0.16000003580801081</v>
      </c>
      <c r="BI60" s="8">
        <v>0</v>
      </c>
      <c r="BJ60" s="8">
        <v>0</v>
      </c>
      <c r="BK60" s="8">
        <v>0.16000003580801081</v>
      </c>
      <c r="BL60" s="8">
        <v>0</v>
      </c>
      <c r="BM60" s="9">
        <v>0</v>
      </c>
      <c r="BN60" s="8">
        <v>13</v>
      </c>
      <c r="BO60" s="7">
        <v>-6.4000021484807684E-2</v>
      </c>
      <c r="BP60" s="8">
        <v>-0.11085128889718664</v>
      </c>
      <c r="BQ60" s="8">
        <v>9.6000002387194555E-2</v>
      </c>
      <c r="BR60" s="16">
        <v>6.4000021484807684E-2</v>
      </c>
      <c r="BS60" s="16">
        <v>0.11085128889718664</v>
      </c>
      <c r="BT60" s="17">
        <v>-9.6000002387194555E-2</v>
      </c>
    </row>
    <row r="61" spans="18:72" x14ac:dyDescent="0.3">
      <c r="R61" s="7">
        <v>-0.4330127018922193</v>
      </c>
      <c r="S61" s="8">
        <v>0</v>
      </c>
      <c r="T61" s="8">
        <v>0</v>
      </c>
      <c r="U61" s="8">
        <v>0.4330127018922193</v>
      </c>
      <c r="V61" s="8">
        <v>0</v>
      </c>
      <c r="W61" s="9">
        <v>0</v>
      </c>
      <c r="X61">
        <v>14</v>
      </c>
      <c r="Y61" s="7">
        <v>0.21650635094610965</v>
      </c>
      <c r="Z61" s="8">
        <v>-0.37499999999999994</v>
      </c>
      <c r="AA61" s="8">
        <v>0</v>
      </c>
      <c r="AB61" s="16">
        <v>-0.21650635094610965</v>
      </c>
      <c r="AC61" s="16">
        <v>0.37499999999999994</v>
      </c>
      <c r="AD61" s="17">
        <v>0</v>
      </c>
      <c r="AF61" s="7">
        <v>-0.14433756729740646</v>
      </c>
      <c r="AG61" s="8">
        <v>0</v>
      </c>
      <c r="AH61" s="8">
        <v>0</v>
      </c>
      <c r="AI61" s="8">
        <v>0.14433756729740646</v>
      </c>
      <c r="AJ61" s="8">
        <v>0</v>
      </c>
      <c r="AK61" s="9">
        <v>0</v>
      </c>
      <c r="AL61">
        <v>14</v>
      </c>
      <c r="AM61" s="7">
        <v>-0.12500000000000003</v>
      </c>
      <c r="AN61" s="8">
        <v>-7.216878364870323E-2</v>
      </c>
      <c r="AO61" s="8">
        <v>0</v>
      </c>
      <c r="AP61" s="16">
        <v>0.12500000000000003</v>
      </c>
      <c r="AQ61" s="16">
        <v>7.216878364870323E-2</v>
      </c>
      <c r="AR61" s="17">
        <v>0</v>
      </c>
      <c r="AT61" s="7">
        <v>-0.4330128028383291</v>
      </c>
      <c r="AU61" s="8">
        <v>0</v>
      </c>
      <c r="AV61" s="8">
        <v>0</v>
      </c>
      <c r="AW61" s="8">
        <v>0.4330128028383291</v>
      </c>
      <c r="AX61" s="8">
        <v>0</v>
      </c>
      <c r="AY61" s="9">
        <v>0</v>
      </c>
      <c r="AZ61">
        <v>14</v>
      </c>
      <c r="BA61" s="7">
        <v>0</v>
      </c>
      <c r="BB61" s="8">
        <v>-0.37500013113285086</v>
      </c>
      <c r="BC61" s="8">
        <v>0.21650632570955142</v>
      </c>
      <c r="BD61" s="16">
        <v>0</v>
      </c>
      <c r="BE61" s="16">
        <v>0.37500013113285086</v>
      </c>
      <c r="BF61" s="17">
        <v>-0.21650632570955142</v>
      </c>
      <c r="BH61" s="7">
        <v>-0.27712819123231436</v>
      </c>
      <c r="BI61" s="8">
        <v>0</v>
      </c>
      <c r="BJ61" s="8">
        <v>0</v>
      </c>
      <c r="BK61" s="8">
        <v>0.27712819123231436</v>
      </c>
      <c r="BL61" s="8">
        <v>0</v>
      </c>
      <c r="BM61" s="9">
        <v>0</v>
      </c>
      <c r="BN61" s="8">
        <v>14</v>
      </c>
      <c r="BO61" s="7">
        <v>-0.11085128889718664</v>
      </c>
      <c r="BP61" s="8">
        <v>-0.192000064454423</v>
      </c>
      <c r="BQ61" s="8">
        <v>0.16627688166135443</v>
      </c>
      <c r="BR61" s="16">
        <v>0.11085128889718664</v>
      </c>
      <c r="BS61" s="16">
        <v>0.192000064454423</v>
      </c>
      <c r="BT61" s="17">
        <v>-0.16627688166135443</v>
      </c>
    </row>
    <row r="62" spans="18:72" ht="15" thickBot="1" x14ac:dyDescent="0.35">
      <c r="R62" s="10">
        <v>0</v>
      </c>
      <c r="S62" s="11">
        <v>0</v>
      </c>
      <c r="T62" s="11">
        <v>0</v>
      </c>
      <c r="U62" s="11">
        <v>0</v>
      </c>
      <c r="V62" s="11">
        <v>0</v>
      </c>
      <c r="W62" s="12">
        <v>0</v>
      </c>
      <c r="X62">
        <v>15</v>
      </c>
      <c r="Y62" s="10">
        <v>0</v>
      </c>
      <c r="Z62" s="11">
        <v>0</v>
      </c>
      <c r="AA62" s="11">
        <v>0</v>
      </c>
      <c r="AB62" s="18">
        <v>0</v>
      </c>
      <c r="AC62" s="18">
        <v>0</v>
      </c>
      <c r="AD62" s="19">
        <v>0</v>
      </c>
      <c r="AF62" s="10">
        <v>0</v>
      </c>
      <c r="AG62" s="11">
        <v>0</v>
      </c>
      <c r="AH62" s="11">
        <v>0</v>
      </c>
      <c r="AI62" s="11">
        <v>0</v>
      </c>
      <c r="AJ62" s="11">
        <v>0</v>
      </c>
      <c r="AK62" s="12">
        <v>0</v>
      </c>
      <c r="AL62">
        <v>15</v>
      </c>
      <c r="AM62" s="10">
        <v>0</v>
      </c>
      <c r="AN62" s="11">
        <v>0</v>
      </c>
      <c r="AO62" s="11">
        <v>0</v>
      </c>
      <c r="AP62" s="18">
        <v>0</v>
      </c>
      <c r="AQ62" s="18">
        <v>0</v>
      </c>
      <c r="AR62" s="19">
        <v>0</v>
      </c>
      <c r="AT62" s="10">
        <v>0.24999994171870929</v>
      </c>
      <c r="AU62" s="11">
        <v>0</v>
      </c>
      <c r="AV62" s="11">
        <v>0</v>
      </c>
      <c r="AW62" s="11">
        <v>-0.24999994171870929</v>
      </c>
      <c r="AX62" s="11">
        <v>0</v>
      </c>
      <c r="AY62" s="12">
        <v>0</v>
      </c>
      <c r="AZ62">
        <v>15</v>
      </c>
      <c r="BA62" s="10">
        <v>0</v>
      </c>
      <c r="BB62" s="11">
        <v>0.21650632570955142</v>
      </c>
      <c r="BC62" s="11">
        <v>-0.1249999271484095</v>
      </c>
      <c r="BD62" s="18">
        <v>0</v>
      </c>
      <c r="BE62" s="18">
        <v>-0.21650632570955142</v>
      </c>
      <c r="BF62" s="19">
        <v>0.1249999271484095</v>
      </c>
      <c r="BH62" s="10">
        <v>0.23999997911198212</v>
      </c>
      <c r="BI62" s="11">
        <v>0</v>
      </c>
      <c r="BJ62" s="11">
        <v>0</v>
      </c>
      <c r="BK62" s="11">
        <v>-0.23999997911198212</v>
      </c>
      <c r="BL62" s="11">
        <v>0</v>
      </c>
      <c r="BM62" s="12">
        <v>0</v>
      </c>
      <c r="BN62" s="31">
        <v>15</v>
      </c>
      <c r="BO62" s="10">
        <v>9.6000002387194555E-2</v>
      </c>
      <c r="BP62" s="11">
        <v>0.16627688166135446</v>
      </c>
      <c r="BQ62" s="11">
        <v>-0.14399995882078029</v>
      </c>
      <c r="BR62" s="18">
        <v>-9.6000002387194555E-2</v>
      </c>
      <c r="BS62" s="18">
        <v>-0.16627688166135446</v>
      </c>
      <c r="BT62" s="19">
        <v>0.14399995882078029</v>
      </c>
    </row>
    <row r="64" spans="18:72" x14ac:dyDescent="0.3">
      <c r="R64" s="20" t="s">
        <v>56</v>
      </c>
      <c r="Y64">
        <v>1</v>
      </c>
      <c r="Z64">
        <v>2</v>
      </c>
      <c r="AA64">
        <v>3</v>
      </c>
      <c r="AB64">
        <v>13</v>
      </c>
      <c r="AC64">
        <v>14</v>
      </c>
      <c r="AD64">
        <v>15</v>
      </c>
    </row>
    <row r="65" spans="14:38" x14ac:dyDescent="0.3">
      <c r="R65" s="4">
        <f>Q12^2*S12^2/N12</f>
        <v>0.125</v>
      </c>
      <c r="S65" s="5">
        <f>0.5*X12*S12^2/N12</f>
        <v>-0.21650635094610959</v>
      </c>
      <c r="T65" s="5">
        <f>-0.5*Q12*AC12/N12</f>
        <v>0</v>
      </c>
      <c r="U65" s="51">
        <f>(-1)*Q12^2*S12^2/N12</f>
        <v>-0.125</v>
      </c>
      <c r="V65" s="5">
        <f>(-0.5)*X12*S12^2/N12</f>
        <v>0.21650635094610959</v>
      </c>
      <c r="W65" s="6">
        <f>0.5*Q12*AC12</f>
        <v>0</v>
      </c>
      <c r="X65">
        <v>1</v>
      </c>
      <c r="Y65" s="4"/>
      <c r="Z65" s="5"/>
      <c r="AA65" s="5"/>
      <c r="AB65" s="5"/>
      <c r="AC65" s="5"/>
      <c r="AD65" s="6"/>
      <c r="AF65">
        <v>0</v>
      </c>
      <c r="AG65" s="36"/>
    </row>
    <row r="66" spans="14:38" x14ac:dyDescent="0.3">
      <c r="R66" s="7">
        <f>0.5*X12*S12^2/N12</f>
        <v>-0.21650635094610959</v>
      </c>
      <c r="S66" s="8">
        <f>P12^2*S12^2/N12</f>
        <v>0.37499999999999994</v>
      </c>
      <c r="T66" s="8">
        <f>-0.5*P12*AC12/N12</f>
        <v>0</v>
      </c>
      <c r="U66" s="8"/>
      <c r="V66" s="8">
        <f>(-1)*P12^2*S12^2/N12</f>
        <v>-0.37499999999999994</v>
      </c>
      <c r="W66" s="9">
        <f>0.5*P12*AC12/N12</f>
        <v>0</v>
      </c>
      <c r="X66">
        <v>2</v>
      </c>
      <c r="Y66" s="7"/>
      <c r="Z66" s="8"/>
      <c r="AA66" s="8"/>
      <c r="AB66" s="8"/>
      <c r="AC66" s="8"/>
      <c r="AD66" s="9"/>
      <c r="AF66">
        <v>0</v>
      </c>
      <c r="AG66" s="36"/>
    </row>
    <row r="67" spans="14:38" x14ac:dyDescent="0.3">
      <c r="R67" s="7">
        <f>T65</f>
        <v>0</v>
      </c>
      <c r="S67" s="8">
        <f>T66</f>
        <v>0</v>
      </c>
      <c r="T67" s="8">
        <f>R12^2/N12</f>
        <v>0</v>
      </c>
      <c r="U67" s="8"/>
      <c r="V67" s="8"/>
      <c r="W67" s="9">
        <f>(-1)*R12^2/N12</f>
        <v>0</v>
      </c>
      <c r="X67">
        <v>3</v>
      </c>
      <c r="Y67" s="7"/>
      <c r="Z67" s="8"/>
      <c r="AA67" s="8"/>
      <c r="AB67" s="8" t="s">
        <v>26</v>
      </c>
      <c r="AC67" s="8"/>
      <c r="AD67" s="9"/>
      <c r="AF67">
        <v>0</v>
      </c>
      <c r="AG67" s="36"/>
      <c r="AH67" t="s">
        <v>47</v>
      </c>
      <c r="AJ67" t="s">
        <v>44</v>
      </c>
    </row>
    <row r="68" spans="14:38" x14ac:dyDescent="0.3">
      <c r="R68" s="7"/>
      <c r="S68" s="8"/>
      <c r="T68" s="8"/>
      <c r="U68" s="8"/>
      <c r="V68" s="8"/>
      <c r="W68" s="9"/>
      <c r="X68">
        <v>13</v>
      </c>
      <c r="Y68" s="7"/>
      <c r="Z68" s="8"/>
      <c r="AA68" s="8"/>
      <c r="AB68" s="13">
        <f>AB60+AP60+BD60+BR60</f>
        <v>0.40550637243091736</v>
      </c>
      <c r="AC68" s="13">
        <f t="shared" ref="AC68:AD70" si="8">AC60+AQ60+BE60+BS60</f>
        <v>1.9344937951077015E-2</v>
      </c>
      <c r="AD68" s="13">
        <f t="shared" si="8"/>
        <v>-9.6000002387194555E-2</v>
      </c>
      <c r="AF68" s="20">
        <f t="array" ref="AF68:AF70">MMULT(AJ68:AL70,AH68:AH70)</f>
        <v>-20.830110205062141</v>
      </c>
      <c r="AG68" s="36"/>
      <c r="AH68">
        <v>0</v>
      </c>
      <c r="AJ68">
        <f t="array" ref="AJ68:AL70">MINVERSE(AB68:AD70)</f>
        <v>2.9243414960961465</v>
      </c>
      <c r="AK68">
        <v>0.73042111304432822</v>
      </c>
      <c r="AL68">
        <v>2.083011020506214</v>
      </c>
    </row>
    <row r="69" spans="14:38" x14ac:dyDescent="0.3">
      <c r="R69" s="7"/>
      <c r="S69" s="8"/>
      <c r="T69" s="8"/>
      <c r="U69" s="8"/>
      <c r="V69" s="8"/>
      <c r="W69" s="9"/>
      <c r="X69">
        <v>14</v>
      </c>
      <c r="Y69" s="7"/>
      <c r="Z69" s="8"/>
      <c r="AA69" s="8"/>
      <c r="AB69" s="13">
        <f t="shared" ref="AB69:AB70" si="9">AB61+AP61+BD61+BR61</f>
        <v>1.9344937951077015E-2</v>
      </c>
      <c r="AC69" s="13">
        <f t="shared" si="8"/>
        <v>1.0141689792359772</v>
      </c>
      <c r="AD69" s="13">
        <f t="shared" si="8"/>
        <v>-0.38278320737090588</v>
      </c>
      <c r="AF69" s="20">
        <v>-35.513049447873051</v>
      </c>
      <c r="AG69" s="36"/>
      <c r="AH69">
        <v>0</v>
      </c>
      <c r="AJ69">
        <v>0.73042111304432844</v>
      </c>
      <c r="AK69">
        <v>2.3124844025249462</v>
      </c>
      <c r="AL69">
        <v>3.5513049447873053</v>
      </c>
    </row>
    <row r="70" spans="14:38" x14ac:dyDescent="0.3">
      <c r="R70" s="10"/>
      <c r="S70" s="11"/>
      <c r="T70" s="11"/>
      <c r="U70" s="11"/>
      <c r="V70" s="11"/>
      <c r="W70" s="12"/>
      <c r="X70">
        <v>15</v>
      </c>
      <c r="Y70" s="10"/>
      <c r="Z70" s="11"/>
      <c r="AA70" s="11"/>
      <c r="AB70" s="13">
        <f t="shared" si="9"/>
        <v>-9.6000002387194555E-2</v>
      </c>
      <c r="AC70" s="13">
        <f t="shared" si="8"/>
        <v>-0.38278320737090588</v>
      </c>
      <c r="AD70" s="13">
        <f>AD62+AR62+BF62+BT62</f>
        <v>0.26899988596918978</v>
      </c>
      <c r="AF70" s="20">
        <v>-95.143124348838199</v>
      </c>
      <c r="AG70" s="36"/>
      <c r="AH70">
        <v>-10</v>
      </c>
      <c r="AJ70">
        <v>2.0830110205062145</v>
      </c>
      <c r="AK70">
        <v>3.5513049447873049</v>
      </c>
      <c r="AL70">
        <v>9.5143124348838199</v>
      </c>
    </row>
    <row r="72" spans="14:38" x14ac:dyDescent="0.3">
      <c r="N72" t="s">
        <v>25</v>
      </c>
      <c r="AA72" t="s">
        <v>54</v>
      </c>
      <c r="AB72">
        <f>MDETERM(AB68:AD70)</f>
        <v>4.3185228569029406E-2</v>
      </c>
    </row>
    <row r="73" spans="14:38" x14ac:dyDescent="0.3">
      <c r="AB73" t="s">
        <v>25</v>
      </c>
      <c r="AD73" t="s">
        <v>58</v>
      </c>
    </row>
    <row r="74" spans="14:38" x14ac:dyDescent="0.3">
      <c r="AD74" t="s">
        <v>26</v>
      </c>
    </row>
    <row r="75" spans="14:38" x14ac:dyDescent="0.3">
      <c r="AD75">
        <v>0.66</v>
      </c>
      <c r="AE75">
        <v>0.2772</v>
      </c>
      <c r="AF75">
        <v>-0.24</v>
      </c>
      <c r="AH75">
        <v>-9.5963171513948531</v>
      </c>
    </row>
    <row r="76" spans="14:38" x14ac:dyDescent="0.3">
      <c r="AD76">
        <v>0.2772</v>
      </c>
      <c r="AE76">
        <v>1.73</v>
      </c>
      <c r="AF76">
        <v>-0.84870000000000001</v>
      </c>
      <c r="AH76">
        <v>-26.324702775789824</v>
      </c>
    </row>
    <row r="77" spans="14:38" x14ac:dyDescent="0.3">
      <c r="AD77">
        <v>-0.24</v>
      </c>
      <c r="AE77">
        <v>-0.84870000000000001</v>
      </c>
      <c r="AF77">
        <v>0.61</v>
      </c>
      <c r="AH77">
        <v>-56.794903872373098</v>
      </c>
    </row>
    <row r="79" spans="14:38" x14ac:dyDescent="0.3">
      <c r="AD79" t="s">
        <v>59</v>
      </c>
    </row>
    <row r="82" spans="22:30" x14ac:dyDescent="0.3">
      <c r="V82" t="s">
        <v>45</v>
      </c>
      <c r="X82" t="s">
        <v>46</v>
      </c>
    </row>
    <row r="86" spans="22:30" x14ac:dyDescent="0.3">
      <c r="V86" s="4">
        <f t="array" ref="V86:AA91">MMULT(R30:W35,R43:W48)</f>
        <v>-0.25</v>
      </c>
      <c r="W86" s="5">
        <v>0.4330127018922193</v>
      </c>
      <c r="X86" s="5">
        <v>0</v>
      </c>
      <c r="Y86" s="5">
        <v>0.25</v>
      </c>
      <c r="Z86" s="5">
        <v>-0.4330127018922193</v>
      </c>
      <c r="AA86" s="6">
        <v>0</v>
      </c>
      <c r="AC86">
        <f t="array" ref="AC86:AC91">MMULT(V86:AA91,AF65:AF70)</f>
        <v>10.170073942589962</v>
      </c>
      <c r="AD86" t="s">
        <v>60</v>
      </c>
    </row>
    <row r="87" spans="22:30" x14ac:dyDescent="0.3">
      <c r="V87" s="7">
        <v>0</v>
      </c>
      <c r="W87" s="8">
        <v>0</v>
      </c>
      <c r="X87" s="8">
        <v>0</v>
      </c>
      <c r="Y87" s="8">
        <v>0</v>
      </c>
      <c r="Z87" s="8">
        <v>0</v>
      </c>
      <c r="AA87" s="9">
        <v>0</v>
      </c>
      <c r="AC87">
        <v>0</v>
      </c>
    </row>
    <row r="88" spans="22:30" x14ac:dyDescent="0.3">
      <c r="V88" s="7">
        <v>0</v>
      </c>
      <c r="W88" s="8">
        <v>0</v>
      </c>
      <c r="X88" s="8">
        <v>0</v>
      </c>
      <c r="Y88" s="8">
        <v>0</v>
      </c>
      <c r="Z88" s="8">
        <v>0</v>
      </c>
      <c r="AA88" s="9">
        <v>0</v>
      </c>
      <c r="AC88">
        <v>0</v>
      </c>
    </row>
    <row r="89" spans="22:30" x14ac:dyDescent="0.3">
      <c r="V89" s="7">
        <v>0.25</v>
      </c>
      <c r="W89" s="8">
        <v>-0.4330127018922193</v>
      </c>
      <c r="X89" s="8">
        <v>0</v>
      </c>
      <c r="Y89" s="8">
        <v>-0.25</v>
      </c>
      <c r="Z89" s="8">
        <v>0.4330127018922193</v>
      </c>
      <c r="AA89" s="9">
        <v>0</v>
      </c>
      <c r="AC89">
        <v>-10.170073942589962</v>
      </c>
    </row>
    <row r="90" spans="22:30" x14ac:dyDescent="0.3">
      <c r="V90" s="7">
        <v>0</v>
      </c>
      <c r="W90" s="8">
        <v>0</v>
      </c>
      <c r="X90" s="8">
        <v>0</v>
      </c>
      <c r="Y90" s="8">
        <v>0</v>
      </c>
      <c r="Z90" s="8">
        <v>0</v>
      </c>
      <c r="AA90" s="9">
        <v>0</v>
      </c>
      <c r="AC90">
        <v>0</v>
      </c>
    </row>
    <row r="91" spans="22:30" x14ac:dyDescent="0.3">
      <c r="V91" s="10">
        <v>0</v>
      </c>
      <c r="W91" s="11">
        <v>0</v>
      </c>
      <c r="X91" s="11">
        <v>0</v>
      </c>
      <c r="Y91" s="11">
        <v>0</v>
      </c>
      <c r="Z91" s="11">
        <v>0</v>
      </c>
      <c r="AA91" s="12">
        <v>0</v>
      </c>
      <c r="AC91">
        <v>0</v>
      </c>
    </row>
    <row r="93" spans="22:30" x14ac:dyDescent="0.3">
      <c r="V93" t="s">
        <v>55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workbookViewId="0">
      <selection activeCell="K15" sqref="K15:K16"/>
    </sheetView>
  </sheetViews>
  <sheetFormatPr defaultRowHeight="14.4" x14ac:dyDescent="0.3"/>
  <cols>
    <col min="2" max="4" width="12.6640625" bestFit="1" customWidth="1"/>
    <col min="6" max="8" width="12.6640625" bestFit="1" customWidth="1"/>
  </cols>
  <sheetData>
    <row r="1" spans="1:15" x14ac:dyDescent="0.3">
      <c r="A1" t="s">
        <v>61</v>
      </c>
    </row>
    <row r="2" spans="1:15" x14ac:dyDescent="0.3">
      <c r="I2" t="s">
        <v>11</v>
      </c>
    </row>
    <row r="3" spans="1:15" x14ac:dyDescent="0.3">
      <c r="J3">
        <v>1</v>
      </c>
      <c r="K3">
        <v>2</v>
      </c>
    </row>
    <row r="5" spans="1:15" x14ac:dyDescent="0.3">
      <c r="I5" t="s">
        <v>26</v>
      </c>
      <c r="J5">
        <v>200</v>
      </c>
      <c r="K5">
        <v>150</v>
      </c>
      <c r="M5" t="s">
        <v>64</v>
      </c>
      <c r="N5">
        <v>100</v>
      </c>
      <c r="O5" t="s">
        <v>67</v>
      </c>
    </row>
    <row r="6" spans="1:15" x14ac:dyDescent="0.3">
      <c r="I6" t="s">
        <v>48</v>
      </c>
      <c r="J6">
        <v>0.01</v>
      </c>
      <c r="K6">
        <v>1.4999999999999999E-2</v>
      </c>
      <c r="M6" t="s">
        <v>65</v>
      </c>
      <c r="N6">
        <v>10</v>
      </c>
    </row>
    <row r="7" spans="1:15" x14ac:dyDescent="0.3">
      <c r="I7" t="s">
        <v>62</v>
      </c>
      <c r="J7">
        <v>1</v>
      </c>
      <c r="K7">
        <v>1.5</v>
      </c>
      <c r="M7" t="s">
        <v>66</v>
      </c>
      <c r="N7">
        <v>25</v>
      </c>
    </row>
    <row r="9" spans="1:15" x14ac:dyDescent="0.3">
      <c r="I9" t="s">
        <v>63</v>
      </c>
      <c r="L9" t="s">
        <v>68</v>
      </c>
    </row>
    <row r="10" spans="1:15" x14ac:dyDescent="0.3">
      <c r="I10" s="4">
        <f>J5*J6/J7</f>
        <v>2</v>
      </c>
      <c r="J10" s="6">
        <f>-I10</f>
        <v>-2</v>
      </c>
      <c r="L10" s="4">
        <f>K5*K6/K7</f>
        <v>1.5</v>
      </c>
      <c r="M10" s="6">
        <f>-L10</f>
        <v>-1.5</v>
      </c>
    </row>
    <row r="11" spans="1:15" x14ac:dyDescent="0.3">
      <c r="I11" s="10">
        <f>-I10</f>
        <v>-2</v>
      </c>
      <c r="J11" s="12">
        <f>I10</f>
        <v>2</v>
      </c>
      <c r="L11" s="10">
        <f>-L10</f>
        <v>-1.5</v>
      </c>
      <c r="M11" s="12">
        <f>L10</f>
        <v>1.5</v>
      </c>
    </row>
    <row r="14" spans="1:15" x14ac:dyDescent="0.3">
      <c r="I14" t="s">
        <v>69</v>
      </c>
    </row>
    <row r="15" spans="1:15" x14ac:dyDescent="0.3">
      <c r="I15" s="4">
        <f>I10</f>
        <v>2</v>
      </c>
      <c r="J15" s="5">
        <f>J10</f>
        <v>-2</v>
      </c>
      <c r="K15" s="59">
        <v>0</v>
      </c>
    </row>
    <row r="16" spans="1:15" x14ac:dyDescent="0.3">
      <c r="I16" s="7">
        <f>I11</f>
        <v>-2</v>
      </c>
      <c r="J16" s="8">
        <f>J11+L10</f>
        <v>3.5</v>
      </c>
      <c r="K16" s="52">
        <f>M10</f>
        <v>-1.5</v>
      </c>
    </row>
    <row r="17" spans="8:12" x14ac:dyDescent="0.3">
      <c r="I17" s="53">
        <v>0</v>
      </c>
      <c r="J17" s="54">
        <f>L11</f>
        <v>-1.5</v>
      </c>
      <c r="K17" s="55">
        <f>M11</f>
        <v>1.5</v>
      </c>
    </row>
    <row r="20" spans="8:12" x14ac:dyDescent="0.3">
      <c r="I20" t="s">
        <v>49</v>
      </c>
      <c r="K20" t="s">
        <v>50</v>
      </c>
    </row>
    <row r="21" spans="8:12" x14ac:dyDescent="0.3">
      <c r="H21" t="s">
        <v>71</v>
      </c>
      <c r="I21" s="56">
        <f>N5</f>
        <v>100</v>
      </c>
      <c r="J21" t="s">
        <v>74</v>
      </c>
      <c r="K21" s="56" t="s">
        <v>70</v>
      </c>
    </row>
    <row r="22" spans="8:12" x14ac:dyDescent="0.3">
      <c r="H22" t="s">
        <v>72</v>
      </c>
      <c r="I22" s="57">
        <v>0</v>
      </c>
      <c r="J22" t="s">
        <v>75</v>
      </c>
      <c r="K22" s="57" t="s">
        <v>70</v>
      </c>
    </row>
    <row r="23" spans="8:12" x14ac:dyDescent="0.3">
      <c r="H23" t="s">
        <v>73</v>
      </c>
      <c r="I23" s="58" t="s">
        <v>70</v>
      </c>
      <c r="J23" t="s">
        <v>76</v>
      </c>
      <c r="K23" s="58">
        <f>N7</f>
        <v>25</v>
      </c>
    </row>
    <row r="27" spans="8:12" x14ac:dyDescent="0.3">
      <c r="I27" t="s">
        <v>77</v>
      </c>
      <c r="L27" t="s">
        <v>79</v>
      </c>
    </row>
    <row r="28" spans="8:12" x14ac:dyDescent="0.3">
      <c r="I28" s="4">
        <v>2</v>
      </c>
      <c r="J28" s="6">
        <v>-2</v>
      </c>
      <c r="L28">
        <f>I21-K23*K15</f>
        <v>100</v>
      </c>
    </row>
    <row r="29" spans="8:12" x14ac:dyDescent="0.3">
      <c r="I29" s="10">
        <v>-2</v>
      </c>
      <c r="J29" s="12">
        <v>3.5</v>
      </c>
      <c r="L29">
        <f>I22-K16*K23</f>
        <v>37.5</v>
      </c>
    </row>
    <row r="31" spans="8:12" x14ac:dyDescent="0.3">
      <c r="I31" t="s">
        <v>78</v>
      </c>
      <c r="L31" t="s">
        <v>50</v>
      </c>
    </row>
    <row r="32" spans="8:12" x14ac:dyDescent="0.3">
      <c r="I32">
        <f t="array" ref="I32:J33">MINVERSE(I28:J29)</f>
        <v>1.1666666666666665</v>
      </c>
      <c r="J32">
        <v>0.66666666666666663</v>
      </c>
      <c r="L32" s="20">
        <f t="array" ref="L32:L33">MMULT(I32:J33,L28:L29)</f>
        <v>141.66666666666666</v>
      </c>
    </row>
    <row r="33" spans="9:12" x14ac:dyDescent="0.3">
      <c r="I33">
        <v>0.66666666666666663</v>
      </c>
      <c r="J33">
        <v>0.66666666666666663</v>
      </c>
      <c r="L33" s="20">
        <v>91.666666666666657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стержни</vt:lpstr>
      <vt:lpstr>стержни, тепло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2025-10-09T12:27:51Z</dcterms:modified>
</cp:coreProperties>
</file>