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tmp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Bazis_newGUI\"/>
    </mc:Choice>
  </mc:AlternateContent>
  <bookViews>
    <workbookView xWindow="0" yWindow="0" windowWidth="28800" windowHeight="11835" activeTab="2"/>
  </bookViews>
  <sheets>
    <sheet name="1 лист компоненты тензора" sheetId="1" r:id="rId1"/>
    <sheet name="3 лист смещение источника" sheetId="2" r:id="rId2"/>
    <sheet name="2 лист cos" sheetId="3" r:id="rId3"/>
  </sheets>
  <calcPr calcId="152511"/>
</workbook>
</file>

<file path=xl/calcChain.xml><?xml version="1.0" encoding="utf-8"?>
<calcChain xmlns="http://schemas.openxmlformats.org/spreadsheetml/2006/main">
  <c r="C51" i="3" l="1"/>
  <c r="N12" i="3" a="1"/>
  <c r="N12" i="3" s="1"/>
  <c r="E19" i="3"/>
  <c r="D19" i="3"/>
  <c r="C19" i="3"/>
  <c r="N13" i="3" l="1"/>
  <c r="I37" i="1"/>
  <c r="J37" i="1"/>
  <c r="K37" i="1"/>
  <c r="L37" i="1"/>
  <c r="M37" i="1"/>
  <c r="N37" i="1"/>
  <c r="J36" i="1"/>
  <c r="K36" i="1"/>
  <c r="L36" i="1"/>
  <c r="M36" i="1"/>
  <c r="N36" i="1"/>
  <c r="I36" i="1"/>
  <c r="G58" i="3"/>
  <c r="G59" i="3"/>
  <c r="G60" i="3"/>
  <c r="P32" i="3"/>
  <c r="P33" i="3"/>
  <c r="P31" i="3"/>
  <c r="O32" i="3"/>
  <c r="O33" i="3"/>
  <c r="O31" i="3"/>
  <c r="N32" i="3"/>
  <c r="N33" i="3"/>
  <c r="N31" i="3"/>
  <c r="L32" i="3"/>
  <c r="L33" i="3"/>
  <c r="L31" i="3"/>
  <c r="K32" i="3"/>
  <c r="K33" i="3"/>
  <c r="K31" i="3"/>
  <c r="J32" i="3"/>
  <c r="J33" i="3"/>
  <c r="J31" i="3"/>
  <c r="H32" i="3"/>
  <c r="H33" i="3"/>
  <c r="H31" i="3"/>
  <c r="G32" i="3"/>
  <c r="G33" i="3"/>
  <c r="G31" i="3"/>
  <c r="F32" i="3"/>
  <c r="F33" i="3"/>
  <c r="F31" i="3"/>
  <c r="D32" i="3"/>
  <c r="D33" i="3"/>
  <c r="D31" i="3"/>
  <c r="C32" i="3"/>
  <c r="C33" i="3"/>
  <c r="C31" i="3"/>
  <c r="D50" i="3"/>
  <c r="E50" i="3"/>
  <c r="C50" i="3"/>
  <c r="J37" i="3" l="1"/>
  <c r="E49" i="3" s="1"/>
  <c r="B37" i="3"/>
  <c r="C49" i="3" s="1"/>
  <c r="N37" i="3"/>
  <c r="F37" i="3"/>
  <c r="D49" i="3" s="1"/>
  <c r="G50" i="3"/>
  <c r="D72" i="3" s="1"/>
  <c r="I7" i="3" s="1"/>
  <c r="R36" i="1" s="1"/>
  <c r="B10" i="2"/>
  <c r="C10" i="2"/>
  <c r="D10" i="2"/>
  <c r="C11" i="2"/>
  <c r="D11" i="2"/>
  <c r="B11" i="2"/>
  <c r="C72" i="3" l="1"/>
  <c r="H7" i="3" s="1"/>
  <c r="Q36" i="1" s="1"/>
  <c r="F12" i="2"/>
  <c r="B16" i="2"/>
  <c r="G12" i="2"/>
  <c r="H12" i="2"/>
  <c r="E51" i="3"/>
  <c r="D51" i="3"/>
  <c r="E72" i="3"/>
  <c r="J7" i="3" s="1"/>
  <c r="S36" i="1" s="1"/>
  <c r="J11" i="2"/>
  <c r="J10" i="2"/>
  <c r="I48" i="1" l="1"/>
  <c r="I51" i="1"/>
  <c r="I52" i="1"/>
  <c r="I49" i="1"/>
  <c r="I53" i="1"/>
  <c r="I50" i="1"/>
  <c r="I54" i="1"/>
  <c r="G49" i="3"/>
  <c r="J12" i="2"/>
  <c r="B26" i="2" s="1"/>
  <c r="B17" i="2"/>
  <c r="C17" i="2" s="1"/>
  <c r="B28" i="2"/>
  <c r="B30" i="2" s="1"/>
  <c r="E74" i="3" l="1"/>
  <c r="J9" i="3" s="1"/>
  <c r="C74" i="3"/>
  <c r="H9" i="3" s="1"/>
  <c r="Q38" i="1" s="1"/>
  <c r="G51" i="3"/>
  <c r="E73" i="3" s="1"/>
  <c r="J8" i="3" s="1"/>
  <c r="S37" i="1" s="1"/>
  <c r="D74" i="3"/>
  <c r="I9" i="3" s="1"/>
  <c r="R38" i="1" s="1"/>
  <c r="D30" i="2"/>
  <c r="D33" i="2" s="1"/>
  <c r="B33" i="2"/>
  <c r="C30" i="2"/>
  <c r="C33" i="2" s="1"/>
  <c r="R13" i="3" l="1"/>
  <c r="R12" i="3"/>
  <c r="V12" i="3" s="1" a="1"/>
  <c r="S38" i="1"/>
  <c r="K52" i="1" s="1"/>
  <c r="N52" i="1"/>
  <c r="D73" i="3"/>
  <c r="I8" i="3" s="1"/>
  <c r="R37" i="1" s="1"/>
  <c r="C73" i="3"/>
  <c r="H8" i="3" s="1"/>
  <c r="Q37" i="1" s="1"/>
  <c r="K51" i="1" l="1"/>
  <c r="N54" i="1"/>
  <c r="K48" i="1"/>
  <c r="K54" i="1"/>
  <c r="N48" i="1"/>
  <c r="N53" i="1"/>
  <c r="K53" i="1"/>
  <c r="V12" i="3"/>
  <c r="V14" i="3"/>
  <c r="V13" i="3"/>
  <c r="N50" i="1"/>
  <c r="K49" i="1"/>
  <c r="N51" i="1"/>
  <c r="K50" i="1"/>
  <c r="J49" i="1"/>
  <c r="J53" i="1"/>
  <c r="M48" i="1"/>
  <c r="J50" i="1"/>
  <c r="J54" i="1"/>
  <c r="J51" i="1"/>
  <c r="J52" i="1"/>
  <c r="L49" i="1"/>
  <c r="L54" i="1"/>
  <c r="L53" i="1"/>
  <c r="L52" i="1"/>
  <c r="L51" i="1"/>
  <c r="L50" i="1"/>
  <c r="M51" i="1"/>
  <c r="M52" i="1"/>
  <c r="M50" i="1"/>
  <c r="M54" i="1"/>
  <c r="J48" i="1"/>
  <c r="M49" i="1"/>
  <c r="M53" i="1"/>
  <c r="N49" i="1"/>
  <c r="L48" i="1"/>
</calcChain>
</file>

<file path=xl/sharedStrings.xml><?xml version="1.0" encoding="utf-8"?>
<sst xmlns="http://schemas.openxmlformats.org/spreadsheetml/2006/main" count="134" uniqueCount="90">
  <si>
    <t>Sx</t>
  </si>
  <si>
    <t>Sy</t>
  </si>
  <si>
    <t>Sz</t>
  </si>
  <si>
    <t>Sxy</t>
  </si>
  <si>
    <t>Sxz</t>
  </si>
  <si>
    <t>Syz</t>
  </si>
  <si>
    <t>элемент 1</t>
  </si>
  <si>
    <t>элемент 2</t>
  </si>
  <si>
    <t>в направлении х</t>
  </si>
  <si>
    <t>в направлении y</t>
  </si>
  <si>
    <t>в направлении z</t>
  </si>
  <si>
    <t>точки</t>
  </si>
  <si>
    <t>1 (начало)</t>
  </si>
  <si>
    <t xml:space="preserve"> </t>
  </si>
  <si>
    <t>вектора</t>
  </si>
  <si>
    <t>проверка, являются ли вектора 1, 2 перпендикулярными</t>
  </si>
  <si>
    <t>x</t>
  </si>
  <si>
    <t>y</t>
  </si>
  <si>
    <t>z</t>
  </si>
  <si>
    <t>1 (ось x)</t>
  </si>
  <si>
    <t>2 (ось y)</t>
  </si>
  <si>
    <t>3 (ось z)</t>
  </si>
  <si>
    <t>единичный вектор</t>
  </si>
  <si>
    <t>или</t>
  </si>
  <si>
    <t>длина вектора</t>
  </si>
  <si>
    <t>скалярное произвед 1 и 2</t>
  </si>
  <si>
    <t>cos(1^2)</t>
  </si>
  <si>
    <t>радиус источника</t>
  </si>
  <si>
    <t>сдвигаем. Нужно чтобы длина вестора z увеличилась на радиус источника (заглубилась)</t>
  </si>
  <si>
    <t>получаем коллинеарный вектор с новой длиной и одним концом</t>
  </si>
  <si>
    <t>вектора коллинеарны, если скалярное произведение 0</t>
  </si>
  <si>
    <t>лямбда</t>
  </si>
  <si>
    <t>значит точка, где будет источник, сместится</t>
  </si>
  <si>
    <t>Писаренко Г.С., Можаровский Н.С. Уравнения и краевые задачи теории пластичности и ползучести</t>
  </si>
  <si>
    <t>σx</t>
  </si>
  <si>
    <t>σy</t>
  </si>
  <si>
    <t>σz</t>
  </si>
  <si>
    <t>τxy</t>
  </si>
  <si>
    <t>τyz</t>
  </si>
  <si>
    <t>τzx</t>
  </si>
  <si>
    <t>x'</t>
  </si>
  <si>
    <t>y'</t>
  </si>
  <si>
    <t>z'</t>
  </si>
  <si>
    <t>старые координаты</t>
  </si>
  <si>
    <t>σx'</t>
  </si>
  <si>
    <t>σy'</t>
  </si>
  <si>
    <t>σz'</t>
  </si>
  <si>
    <t>τxy'</t>
  </si>
  <si>
    <t>τyz'</t>
  </si>
  <si>
    <t>τzx'</t>
  </si>
  <si>
    <t>формула 1.46</t>
  </si>
  <si>
    <t>а теперь самое интересное, как получить углы, если известны лишь три точки в новой плоскости…</t>
  </si>
  <si>
    <r>
      <t xml:space="preserve">cos, которые мы </t>
    </r>
    <r>
      <rPr>
        <strike/>
        <sz val="11"/>
        <color theme="1"/>
        <rFont val="Calibri"/>
        <family val="2"/>
        <charset val="204"/>
        <scheme val="minor"/>
      </rPr>
      <t>заслужили</t>
    </r>
    <r>
      <rPr>
        <sz val="11"/>
        <color theme="1"/>
        <rFont val="Calibri"/>
        <family val="2"/>
        <charset val="204"/>
        <scheme val="minor"/>
      </rPr>
      <t xml:space="preserve"> получили</t>
    </r>
  </si>
  <si>
    <t>уравнение плоскости по 3м точкам</t>
  </si>
  <si>
    <t>A</t>
  </si>
  <si>
    <t>B</t>
  </si>
  <si>
    <t>C</t>
  </si>
  <si>
    <t>D</t>
  </si>
  <si>
    <t>1 вектор (нам нужна правосторонняя тройка)</t>
  </si>
  <si>
    <t>2 вектор</t>
  </si>
  <si>
    <t>Z</t>
  </si>
  <si>
    <t>X</t>
  </si>
  <si>
    <t>Y</t>
  </si>
  <si>
    <t>A=</t>
  </si>
  <si>
    <t>B=</t>
  </si>
  <si>
    <t>C=</t>
  </si>
  <si>
    <t>А теперь ищем Cos между осями, чтобы заполнить таблицу косинусов</t>
  </si>
  <si>
    <t>у нас  наш абсолютный базис с координатами векторов</t>
  </si>
  <si>
    <t>сюда не смотрим</t>
  </si>
  <si>
    <t>нужно проверить, правосторонний или левосторонний (договоримся, что право)</t>
  </si>
  <si>
    <t>значит вектор будет с такими координатами</t>
  </si>
  <si>
    <t>искать будем через скалярное произведение векторов</t>
  </si>
  <si>
    <t>X'</t>
  </si>
  <si>
    <t>Y'</t>
  </si>
  <si>
    <t>Z'</t>
  </si>
  <si>
    <t>длины векторов</t>
  </si>
  <si>
    <t>посчитать самостоятельно по 3м точкам</t>
  </si>
  <si>
    <t>(результат тут выводится после расчета)</t>
  </si>
  <si>
    <t>есть три точки исходные</t>
  </si>
  <si>
    <t>координаты вектора нормали совпадают с A,B,C, это у нас ось Z'</t>
  </si>
  <si>
    <t>пусть первый вектор ( ось X')</t>
  </si>
  <si>
    <t>а теперь найдем третий вектор (ось Y') с помощью векторного произведения (начинаем с вектора Z, чтобы был правосторонний базис)</t>
  </si>
  <si>
    <t>таблица cos-ов</t>
  </si>
  <si>
    <t>в этой таблице данные с листа '2 лист cos', на том листе мы пробуем разные плоскости, а тут смотрим результат по компонентам тензора</t>
  </si>
  <si>
    <t xml:space="preserve">здесь можно ввести их вручную </t>
  </si>
  <si>
    <t>(но тогда поменять сылке на листе 1)</t>
  </si>
  <si>
    <t>начало</t>
  </si>
  <si>
    <t xml:space="preserve">3 вектор </t>
  </si>
  <si>
    <r>
      <t xml:space="preserve">не надо!!! </t>
    </r>
    <r>
      <rPr>
        <strike/>
        <sz val="11"/>
        <color rgb="FFFF0000"/>
        <rFont val="Calibri"/>
        <family val="2"/>
        <charset val="204"/>
        <scheme val="minor"/>
      </rPr>
      <t>если мы поменяли направление у вектора Z, то мы должны поменять направление и у вектора Y</t>
    </r>
  </si>
  <si>
    <t>таблица косинусов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</si>
</sst>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"/>
    <numFmt numFmtId="165" formatCode="0.000000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0"/>
      <color rgb="FF373A3C"/>
      <name val="Arial"/>
      <family val="2"/>
      <charset val="204"/>
    </font>
    <font>
      <sz val="11"/>
      <color theme="1"/>
      <name val="Calibri"/>
      <family val="2"/>
      <charset val="204"/>
    </font>
    <font>
      <strike/>
      <sz val="11"/>
      <color theme="1"/>
      <name val="Calibri"/>
      <family val="2"/>
      <charset val="204"/>
      <scheme val="minor"/>
    </font>
    <font>
      <strike/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4" borderId="0" applyNumberFormat="0" applyBorder="0" applyAlignment="0" applyProtection="0"/>
    <xf numFmtId="0" fontId="4" fillId="5" borderId="12" applyNumberFormat="0" applyFont="0" applyAlignment="0" applyProtection="0"/>
  </cellStyleXfs>
  <cellXfs count="58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1" fillId="2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3" borderId="9" xfId="2" applyBorder="1"/>
    <xf numFmtId="0" fontId="2" fillId="3" borderId="10" xfId="2" applyBorder="1"/>
    <xf numFmtId="0" fontId="2" fillId="3" borderId="11" xfId="2" applyBorder="1"/>
    <xf numFmtId="0" fontId="3" fillId="0" borderId="0" xfId="0" applyFont="1"/>
    <xf numFmtId="0" fontId="6" fillId="0" borderId="0" xfId="0" applyFont="1" applyAlignment="1">
      <alignment horizontal="left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3" xfId="0" applyBorder="1"/>
    <xf numFmtId="0" fontId="7" fillId="0" borderId="10" xfId="0" applyFont="1" applyBorder="1"/>
    <xf numFmtId="0" fontId="0" fillId="0" borderId="10" xfId="0" applyBorder="1"/>
    <xf numFmtId="0" fontId="0" fillId="0" borderId="11" xfId="0" applyBorder="1"/>
    <xf numFmtId="0" fontId="0" fillId="0" borderId="0" xfId="0" applyFill="1" applyBorder="1"/>
    <xf numFmtId="164" fontId="0" fillId="0" borderId="0" xfId="0" applyNumberFormat="1" applyBorder="1" applyAlignment="1">
      <alignment vertical="center" wrapText="1"/>
    </xf>
    <xf numFmtId="164" fontId="0" fillId="0" borderId="0" xfId="0" applyNumberFormat="1" applyBorder="1"/>
    <xf numFmtId="164" fontId="0" fillId="0" borderId="14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64" fontId="0" fillId="0" borderId="0" xfId="0" applyNumberFormat="1"/>
    <xf numFmtId="164" fontId="7" fillId="0" borderId="10" xfId="0" applyNumberFormat="1" applyFont="1" applyBorder="1"/>
    <xf numFmtId="164" fontId="0" fillId="0" borderId="10" xfId="0" applyNumberFormat="1" applyBorder="1"/>
    <xf numFmtId="164" fontId="0" fillId="0" borderId="11" xfId="0" applyNumberFormat="1" applyBorder="1"/>
    <xf numFmtId="164" fontId="0" fillId="0" borderId="0" xfId="0" applyNumberFormat="1" applyFill="1" applyBorder="1"/>
    <xf numFmtId="0" fontId="0" fillId="0" borderId="0" xfId="0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4" xfId="0" applyNumberFormat="1" applyBorder="1"/>
    <xf numFmtId="0" fontId="0" fillId="0" borderId="0" xfId="0" applyNumberFormat="1" applyBorder="1"/>
    <xf numFmtId="0" fontId="0" fillId="0" borderId="5" xfId="0" applyNumberFormat="1" applyBorder="1"/>
    <xf numFmtId="0" fontId="0" fillId="0" borderId="1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5" fillId="4" borderId="0" xfId="3" applyBorder="1"/>
    <xf numFmtId="0" fontId="5" fillId="4" borderId="14" xfId="3" applyBorder="1"/>
    <xf numFmtId="0" fontId="5" fillId="4" borderId="15" xfId="3" applyBorder="1"/>
    <xf numFmtId="0" fontId="5" fillId="4" borderId="16" xfId="3" applyBorder="1"/>
    <xf numFmtId="0" fontId="1" fillId="2" borderId="0" xfId="1" applyBorder="1"/>
    <xf numFmtId="0" fontId="0" fillId="5" borderId="12" xfId="4" applyFont="1"/>
    <xf numFmtId="165" fontId="1" fillId="2" borderId="0" xfId="1" applyNumberFormat="1"/>
  </cellXfs>
  <cellStyles count="5">
    <cellStyle name="Нейтральный" xfId="3" builtinId="28"/>
    <cellStyle name="Обычный" xfId="0" builtinId="0"/>
    <cellStyle name="Плохой" xfId="2" builtinId="27"/>
    <cellStyle name="Примечание" xfId="4" builtinId="10"/>
    <cellStyle name="Хороший" xfId="1" builtinId="26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png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tmp"/><Relationship Id="rId2" Type="http://schemas.openxmlformats.org/officeDocument/2006/relationships/image" Target="../media/image7.tmp"/><Relationship Id="rId1" Type="http://schemas.openxmlformats.org/officeDocument/2006/relationships/image" Target="../media/image6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6</xdr:row>
      <xdr:rowOff>66675</xdr:rowOff>
    </xdr:from>
    <xdr:to>
      <xdr:col>10</xdr:col>
      <xdr:colOff>714375</xdr:colOff>
      <xdr:row>30</xdr:row>
      <xdr:rowOff>38100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209675"/>
          <a:ext cx="8420100" cy="454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6</xdr:col>
      <xdr:colOff>362760</xdr:colOff>
      <xdr:row>58</xdr:row>
      <xdr:rowOff>105464</xdr:rowOff>
    </xdr:to>
    <xdr:pic>
      <xdr:nvPicPr>
        <xdr:cNvPr id="3" name="Рисунок 2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86500"/>
          <a:ext cx="5801535" cy="49346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6</xdr:col>
      <xdr:colOff>305602</xdr:colOff>
      <xdr:row>83</xdr:row>
      <xdr:rowOff>612</xdr:rowOff>
    </xdr:to>
    <xdr:pic>
      <xdr:nvPicPr>
        <xdr:cNvPr id="4" name="Рисунок 3" descr="Вырезка экрана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00"/>
          <a:ext cx="5744377" cy="43821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6</xdr:col>
      <xdr:colOff>343707</xdr:colOff>
      <xdr:row>109</xdr:row>
      <xdr:rowOff>10191</xdr:rowOff>
    </xdr:to>
    <xdr:pic>
      <xdr:nvPicPr>
        <xdr:cNvPr id="5" name="Рисунок 4" descr="Вырезка экрана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002000"/>
          <a:ext cx="5782482" cy="47726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6</xdr:col>
      <xdr:colOff>362760</xdr:colOff>
      <xdr:row>127</xdr:row>
      <xdr:rowOff>152874</xdr:rowOff>
    </xdr:to>
    <xdr:pic>
      <xdr:nvPicPr>
        <xdr:cNvPr id="6" name="Рисунок 5" descr="Вырезка экрана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955000"/>
          <a:ext cx="5801535" cy="3391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19</xdr:col>
      <xdr:colOff>182533</xdr:colOff>
      <xdr:row>27</xdr:row>
      <xdr:rowOff>133502</xdr:rowOff>
    </xdr:to>
    <xdr:pic>
      <xdr:nvPicPr>
        <xdr:cNvPr id="3" name="Рисунок 2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867150"/>
          <a:ext cx="11155333" cy="1086002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60</xdr:row>
      <xdr:rowOff>171450</xdr:rowOff>
    </xdr:from>
    <xdr:to>
      <xdr:col>5</xdr:col>
      <xdr:colOff>390923</xdr:colOff>
      <xdr:row>68</xdr:row>
      <xdr:rowOff>162137</xdr:rowOff>
    </xdr:to>
    <xdr:pic>
      <xdr:nvPicPr>
        <xdr:cNvPr id="5" name="Рисунок 4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0163175"/>
          <a:ext cx="2848373" cy="15146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7</xdr:col>
      <xdr:colOff>381564</xdr:colOff>
      <xdr:row>45</xdr:row>
      <xdr:rowOff>66871</xdr:rowOff>
    </xdr:to>
    <xdr:pic>
      <xdr:nvPicPr>
        <xdr:cNvPr id="13" name="Рисунок 12" descr="Вырезка экрана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296150"/>
          <a:ext cx="4039164" cy="14003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topLeftCell="A16" workbookViewId="0">
      <selection activeCell="W32" sqref="W32"/>
    </sheetView>
  </sheetViews>
  <sheetFormatPr defaultRowHeight="15" x14ac:dyDescent="0.25"/>
  <cols>
    <col min="1" max="1" width="16.28515625" customWidth="1"/>
    <col min="2" max="2" width="17.140625" customWidth="1"/>
    <col min="3" max="3" width="20.7109375" customWidth="1"/>
    <col min="8" max="9" width="11" customWidth="1"/>
    <col min="10" max="10" width="10.5703125" bestFit="1" customWidth="1"/>
    <col min="11" max="11" width="13.5703125" customWidth="1"/>
    <col min="12" max="12" width="14.140625" customWidth="1"/>
    <col min="13" max="13" width="12" customWidth="1"/>
    <col min="14" max="14" width="11.28515625" bestFit="1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8" x14ac:dyDescent="0.25">
      <c r="A2" t="s">
        <v>6</v>
      </c>
      <c r="B2" s="1">
        <v>100</v>
      </c>
      <c r="C2" s="1">
        <v>33.333399999999997</v>
      </c>
      <c r="D2" s="1">
        <v>299.99990000000003</v>
      </c>
      <c r="E2" s="1">
        <v>-33.333300000000001</v>
      </c>
      <c r="F2" s="1">
        <v>-299.99990000000003</v>
      </c>
      <c r="G2" s="2">
        <v>9.4027760000000002E-6</v>
      </c>
    </row>
    <row r="3" spans="1:8" x14ac:dyDescent="0.25">
      <c r="A3" t="s">
        <v>7</v>
      </c>
      <c r="B3" s="1">
        <v>100</v>
      </c>
      <c r="C3" s="1">
        <v>33.333399999999997</v>
      </c>
      <c r="D3" s="1">
        <v>299.99990000000003</v>
      </c>
      <c r="E3" s="1">
        <v>33.333300000000001</v>
      </c>
      <c r="F3" s="1">
        <v>299.99990000000003</v>
      </c>
      <c r="G3" s="2">
        <v>9.4027760000000002E-6</v>
      </c>
    </row>
    <row r="5" spans="1:8" x14ac:dyDescent="0.25">
      <c r="B5" t="s">
        <v>8</v>
      </c>
      <c r="C5" t="s">
        <v>9</v>
      </c>
      <c r="D5" t="s">
        <v>10</v>
      </c>
    </row>
    <row r="10" spans="1:8" x14ac:dyDescent="0.25">
      <c r="C10" s="1"/>
      <c r="D10" s="1"/>
      <c r="E10" s="1"/>
      <c r="F10" s="1"/>
      <c r="G10" s="1"/>
      <c r="H10" s="1"/>
    </row>
    <row r="32" spans="1:1" ht="89.25" x14ac:dyDescent="0.25">
      <c r="A32" s="17" t="s">
        <v>33</v>
      </c>
    </row>
    <row r="34" spans="8:20" ht="15.75" thickBot="1" x14ac:dyDescent="0.3">
      <c r="P34" t="s">
        <v>82</v>
      </c>
    </row>
    <row r="35" spans="8:20" ht="15.75" thickBot="1" x14ac:dyDescent="0.3">
      <c r="H35" s="23"/>
      <c r="I35" s="24" t="s">
        <v>34</v>
      </c>
      <c r="J35" s="25" t="s">
        <v>35</v>
      </c>
      <c r="K35" s="25" t="s">
        <v>36</v>
      </c>
      <c r="L35" s="24" t="s">
        <v>37</v>
      </c>
      <c r="M35" s="25" t="s">
        <v>38</v>
      </c>
      <c r="N35" s="26" t="s">
        <v>39</v>
      </c>
      <c r="P35" s="23"/>
      <c r="Q35" s="25" t="s">
        <v>16</v>
      </c>
      <c r="R35" s="25" t="s">
        <v>17</v>
      </c>
      <c r="S35" s="26" t="s">
        <v>18</v>
      </c>
      <c r="T35" s="27" t="s">
        <v>43</v>
      </c>
    </row>
    <row r="36" spans="8:20" x14ac:dyDescent="0.25">
      <c r="H36" s="21" t="s">
        <v>6</v>
      </c>
      <c r="I36" s="28">
        <f>B2</f>
        <v>100</v>
      </c>
      <c r="J36" s="28">
        <f t="shared" ref="J36:N36" si="0">C2</f>
        <v>33.333399999999997</v>
      </c>
      <c r="K36" s="28">
        <f t="shared" si="0"/>
        <v>299.99990000000003</v>
      </c>
      <c r="L36" s="28">
        <f t="shared" si="0"/>
        <v>-33.333300000000001</v>
      </c>
      <c r="M36" s="28">
        <f t="shared" si="0"/>
        <v>-299.99990000000003</v>
      </c>
      <c r="N36" s="28">
        <f t="shared" si="0"/>
        <v>9.4027760000000002E-6</v>
      </c>
      <c r="P36" s="21" t="s">
        <v>40</v>
      </c>
      <c r="Q36" s="8">
        <f>'2 лист cos'!H7</f>
        <v>0.70710678118654746</v>
      </c>
      <c r="R36" s="8">
        <f>'2 лист cos'!I7</f>
        <v>0.70710678118654746</v>
      </c>
      <c r="S36" s="8">
        <f>'2 лист cos'!J7</f>
        <v>0</v>
      </c>
    </row>
    <row r="37" spans="8:20" x14ac:dyDescent="0.25">
      <c r="H37" s="21" t="s">
        <v>7</v>
      </c>
      <c r="I37" s="28">
        <f>B3</f>
        <v>100</v>
      </c>
      <c r="J37" s="28">
        <f t="shared" ref="J37" si="1">C3</f>
        <v>33.333399999999997</v>
      </c>
      <c r="K37" s="28">
        <f t="shared" ref="K37" si="2">D3</f>
        <v>299.99990000000003</v>
      </c>
      <c r="L37" s="28">
        <f t="shared" ref="L37" si="3">E3</f>
        <v>33.333300000000001</v>
      </c>
      <c r="M37" s="28">
        <f t="shared" ref="M37" si="4">F3</f>
        <v>299.99990000000003</v>
      </c>
      <c r="N37" s="28">
        <f t="shared" ref="N37" si="5">G3</f>
        <v>9.4027760000000002E-6</v>
      </c>
      <c r="P37" s="21" t="s">
        <v>41</v>
      </c>
      <c r="Q37" s="8">
        <f>'2 лист cos'!H8</f>
        <v>0.40824829046386307</v>
      </c>
      <c r="R37" s="8">
        <f>'2 лист cos'!I8</f>
        <v>-0.40824829046386307</v>
      </c>
      <c r="S37" s="8">
        <f>'2 лист cos'!J8</f>
        <v>0.81649658092772615</v>
      </c>
    </row>
    <row r="38" spans="8:20" ht="15.75" thickBot="1" x14ac:dyDescent="0.3">
      <c r="H38" s="21"/>
      <c r="I38" s="29"/>
      <c r="J38" s="29"/>
      <c r="K38" s="29"/>
      <c r="L38" s="29"/>
      <c r="M38" s="29"/>
      <c r="N38" s="30"/>
      <c r="P38" s="22" t="s">
        <v>42</v>
      </c>
      <c r="Q38" s="8">
        <f>'2 лист cos'!H9</f>
        <v>0.57735026918962584</v>
      </c>
      <c r="R38" s="8">
        <f>'2 лист cos'!I9</f>
        <v>-0.57735026918962584</v>
      </c>
      <c r="S38" s="8">
        <f>'2 лист cos'!J9</f>
        <v>-0.57735026918962584</v>
      </c>
    </row>
    <row r="39" spans="8:20" x14ac:dyDescent="0.25">
      <c r="H39" s="21"/>
      <c r="I39" s="29"/>
      <c r="J39" s="29"/>
      <c r="K39" s="29"/>
      <c r="L39" s="29"/>
      <c r="M39" s="29"/>
      <c r="N39" s="30"/>
    </row>
    <row r="40" spans="8:20" x14ac:dyDescent="0.25">
      <c r="H40" s="21"/>
      <c r="I40" s="29"/>
      <c r="J40" s="29"/>
      <c r="K40" s="29"/>
      <c r="L40" s="29"/>
      <c r="M40" s="29"/>
      <c r="N40" s="30"/>
      <c r="P40" s="16" t="s">
        <v>83</v>
      </c>
    </row>
    <row r="41" spans="8:20" x14ac:dyDescent="0.25">
      <c r="H41" s="21"/>
      <c r="I41" s="29"/>
      <c r="J41" s="29"/>
      <c r="K41" s="29"/>
      <c r="L41" s="29"/>
      <c r="M41" s="29"/>
      <c r="N41" s="30"/>
    </row>
    <row r="42" spans="8:20" x14ac:dyDescent="0.25">
      <c r="H42" s="21"/>
      <c r="I42" s="29"/>
      <c r="J42" s="29"/>
      <c r="K42" s="29"/>
      <c r="L42" s="29"/>
      <c r="M42" s="29"/>
      <c r="N42" s="30"/>
    </row>
    <row r="43" spans="8:20" x14ac:dyDescent="0.25">
      <c r="H43" s="21"/>
      <c r="I43" s="29"/>
      <c r="J43" s="29"/>
      <c r="K43" s="29"/>
      <c r="L43" s="29"/>
      <c r="M43" s="29"/>
      <c r="N43" s="30"/>
    </row>
    <row r="44" spans="8:20" ht="15.75" thickBot="1" x14ac:dyDescent="0.3">
      <c r="H44" s="22"/>
      <c r="I44" s="31"/>
      <c r="J44" s="31"/>
      <c r="K44" s="31"/>
      <c r="L44" s="31"/>
      <c r="M44" s="31"/>
      <c r="N44" s="32"/>
    </row>
    <row r="45" spans="8:20" x14ac:dyDescent="0.25">
      <c r="I45" s="33"/>
      <c r="J45" s="33"/>
      <c r="K45" s="33"/>
      <c r="L45" s="33"/>
      <c r="M45" s="33"/>
      <c r="N45" s="33"/>
    </row>
    <row r="46" spans="8:20" ht="15.75" thickBot="1" x14ac:dyDescent="0.3">
      <c r="I46" s="33"/>
      <c r="J46" s="33"/>
      <c r="K46" s="33"/>
      <c r="L46" s="33"/>
      <c r="M46" s="33"/>
      <c r="N46" s="33"/>
    </row>
    <row r="47" spans="8:20" ht="15.75" thickBot="1" x14ac:dyDescent="0.3">
      <c r="H47" s="23"/>
      <c r="I47" s="34" t="s">
        <v>44</v>
      </c>
      <c r="J47" s="35" t="s">
        <v>45</v>
      </c>
      <c r="K47" s="35" t="s">
        <v>46</v>
      </c>
      <c r="L47" s="34" t="s">
        <v>47</v>
      </c>
      <c r="M47" s="35" t="s">
        <v>48</v>
      </c>
      <c r="N47" s="36" t="s">
        <v>49</v>
      </c>
      <c r="O47" s="37" t="s">
        <v>50</v>
      </c>
    </row>
    <row r="48" spans="8:20" x14ac:dyDescent="0.25">
      <c r="H48" s="21" t="s">
        <v>6</v>
      </c>
      <c r="I48" s="57">
        <f>I36*$Q$36^2+J36*$R$36^2+K36*$S$36^2+2*L36*$Q$36*$R$36+2*M36*$R$36*$S$36+2*N36*$S$36*$Q$36</f>
        <v>33.333399999999983</v>
      </c>
      <c r="J48" s="57">
        <f>I36*$Q$37^2+J36*$R$37^2+K36*$S$37^2+2*L36*$Q$37*$R$37+2*M36*$R$37*$S$37+2*N36*$S$37*$Q$37</f>
        <v>433.33320626851747</v>
      </c>
      <c r="K48" s="57">
        <f>I36*$Q$38^2+J36*$R$38^2+K36*$S$38^2+2*L36*$Q$38*$R$38+2*M36*$R$38*$S$38+2*N36*$Q$38*$S$38</f>
        <v>-33.33330626851734</v>
      </c>
      <c r="L48" s="57">
        <f>I36*$Q$36*$Q$37+J36*$R$36*$R$37+K36*$S$36*$S$37+($Q$36*$R$37+$R$36*$Q$37)*L36+($R$36*$S$37+$S$36*$R$37)*M36+($S$36*$Q$37+$Q$36*$S$37)*N36</f>
        <v>-153.96002786518704</v>
      </c>
      <c r="M48" s="57">
        <f>I36*$Q$37*$Q$38+J36*$R$37*$R$38+K36*$S$37*$S$38+($Q$37*$R$38+$R$37*$Q$38)*L36+($R$37*$S$38+$S$37*$R$38)*M36+($S$37*$Q$38+$S$38*$Q$37)*N36</f>
        <v>-23.570200253069995</v>
      </c>
      <c r="N48" s="57">
        <f>I36*$Q$38*$Q36+J36*$R$38*$R$36+K36*$S$38*$S$36+($Q$38*$R$36+$Q$36*$R$38)*L36+($R$38*$S$36+$S$38*$R$36)*M36+($Q$36*$S$38+$S$36*$Q$38)*N36</f>
        <v>149.6909679567008</v>
      </c>
    </row>
    <row r="49" spans="8:14" x14ac:dyDescent="0.25">
      <c r="H49" s="21" t="s">
        <v>7</v>
      </c>
      <c r="I49" s="57">
        <f t="shared" ref="I49:I54" si="6">I37*$Q$36^2+J37*$R$36^2+K37*$S$36^2+2*L37*$Q$36*$R$36+2*M37*$R$36*$S$36+2*N37*$S$36*$Q$36</f>
        <v>99.999999999999972</v>
      </c>
      <c r="J49" s="57">
        <f t="shared" ref="J49:J54" si="7">I37*$Q$37^2+J37*$R$37^2+K37*$S$37^2+2*L37*$Q$37*$R$37+2*M37*$R$37*$S$37+2*N37*$S$37*$Q$37</f>
        <v>11.111139601850718</v>
      </c>
      <c r="K49" s="57">
        <f t="shared" ref="K49:K54" si="8">I37*$Q$38^2+J37*$R$38^2+K37*$S$38^2+2*L37*$Q$38*$R$38+2*M37*$R$38*$S$38+2*N37*$Q$38*$S$38</f>
        <v>322.22216039814947</v>
      </c>
      <c r="L49" s="57">
        <f t="shared" ref="L49:L54" si="9">I37*$Q$36*$Q$37+J37*$R$36*$R$37+K37*$S$36*$S$37+($Q$36*$R$37+$R$36*$Q$37)*L37+($R$36*$S$37+$S$36*$R$37)*M37+($S$36*$Q$37+$Q$36*$S$37)*N37</f>
        <v>192.45001817853466</v>
      </c>
      <c r="M49" s="57">
        <f t="shared" ref="M49:M54" si="10">I37*$Q$37*$Q$38+J37*$R$37*$R$38+K37*$S$37*$S$38+($Q$37*$R$38+$R$37*$Q$38)*L37+($R$37*$S$38+$S$37*$R$38)*M37+($S$37*$Q$38+$S$38*$Q$37)*N37</f>
        <v>-196.41844597569488</v>
      </c>
      <c r="N49" s="57">
        <f t="shared" ref="N49:N54" si="11">I37*$Q$38*$Q37+J37*$R$38*$R$36+K37*$S$38*$S$36+($Q$38*$R$36+$Q$36*$R$38)*L37+($R$38*$S$36+$S$38*$R$36)*M37+($Q$36*$S$38+$S$36*$Q$38)*N37</f>
        <v>-112.51252767879363</v>
      </c>
    </row>
    <row r="50" spans="8:14" x14ac:dyDescent="0.25">
      <c r="H50" s="21"/>
      <c r="I50" s="38">
        <f t="shared" si="6"/>
        <v>0</v>
      </c>
      <c r="J50" s="38">
        <f t="shared" si="7"/>
        <v>0</v>
      </c>
      <c r="K50" s="38">
        <f t="shared" si="8"/>
        <v>0</v>
      </c>
      <c r="L50" s="38">
        <f t="shared" si="9"/>
        <v>0</v>
      </c>
      <c r="M50" s="38">
        <f t="shared" si="10"/>
        <v>0</v>
      </c>
      <c r="N50" s="38">
        <f t="shared" si="11"/>
        <v>0</v>
      </c>
    </row>
    <row r="51" spans="8:14" x14ac:dyDescent="0.25">
      <c r="H51" s="21"/>
      <c r="I51" s="38">
        <f t="shared" si="6"/>
        <v>0</v>
      </c>
      <c r="J51" s="38">
        <f t="shared" si="7"/>
        <v>0</v>
      </c>
      <c r="K51" s="38">
        <f t="shared" si="8"/>
        <v>0</v>
      </c>
      <c r="L51" s="38">
        <f t="shared" si="9"/>
        <v>0</v>
      </c>
      <c r="M51" s="38">
        <f t="shared" si="10"/>
        <v>0</v>
      </c>
      <c r="N51" s="38">
        <f t="shared" si="11"/>
        <v>0</v>
      </c>
    </row>
    <row r="52" spans="8:14" x14ac:dyDescent="0.25">
      <c r="H52" s="21"/>
      <c r="I52" s="38">
        <f t="shared" si="6"/>
        <v>0</v>
      </c>
      <c r="J52" s="38">
        <f t="shared" si="7"/>
        <v>0</v>
      </c>
      <c r="K52" s="38">
        <f t="shared" si="8"/>
        <v>0</v>
      </c>
      <c r="L52" s="38">
        <f t="shared" si="9"/>
        <v>0</v>
      </c>
      <c r="M52" s="38">
        <f t="shared" si="10"/>
        <v>0</v>
      </c>
      <c r="N52" s="38">
        <f t="shared" si="11"/>
        <v>0</v>
      </c>
    </row>
    <row r="53" spans="8:14" x14ac:dyDescent="0.25">
      <c r="H53" s="21"/>
      <c r="I53" s="38">
        <f t="shared" si="6"/>
        <v>0</v>
      </c>
      <c r="J53" s="38">
        <f t="shared" si="7"/>
        <v>0</v>
      </c>
      <c r="K53" s="38">
        <f t="shared" si="8"/>
        <v>0</v>
      </c>
      <c r="L53" s="38">
        <f t="shared" si="9"/>
        <v>0</v>
      </c>
      <c r="M53" s="38">
        <f t="shared" si="10"/>
        <v>0</v>
      </c>
      <c r="N53" s="38">
        <f t="shared" si="11"/>
        <v>0</v>
      </c>
    </row>
    <row r="54" spans="8:14" ht="15.75" thickBot="1" x14ac:dyDescent="0.3">
      <c r="H54" s="22"/>
      <c r="I54" s="38">
        <f t="shared" si="6"/>
        <v>0</v>
      </c>
      <c r="J54" s="38">
        <f t="shared" si="7"/>
        <v>0</v>
      </c>
      <c r="K54" s="38">
        <f t="shared" si="8"/>
        <v>0</v>
      </c>
      <c r="L54" s="38">
        <f t="shared" si="9"/>
        <v>0</v>
      </c>
      <c r="M54" s="38">
        <f t="shared" si="10"/>
        <v>0</v>
      </c>
      <c r="N54" s="38">
        <f t="shared" si="1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selection activeCell="L36" sqref="L36"/>
    </sheetView>
  </sheetViews>
  <sheetFormatPr defaultRowHeight="15" x14ac:dyDescent="0.25"/>
  <cols>
    <col min="1" max="1" width="15.7109375" customWidth="1"/>
  </cols>
  <sheetData>
    <row r="1" spans="1:10" x14ac:dyDescent="0.25">
      <c r="B1" t="s">
        <v>11</v>
      </c>
    </row>
    <row r="2" spans="1:10" x14ac:dyDescent="0.25">
      <c r="B2" t="s">
        <v>16</v>
      </c>
      <c r="C2" t="s">
        <v>17</v>
      </c>
      <c r="D2" t="s">
        <v>18</v>
      </c>
    </row>
    <row r="3" spans="1:10" x14ac:dyDescent="0.25">
      <c r="A3" t="s">
        <v>12</v>
      </c>
      <c r="B3" s="4">
        <v>0</v>
      </c>
      <c r="C3" s="5">
        <v>0</v>
      </c>
      <c r="D3" s="6">
        <v>0</v>
      </c>
    </row>
    <row r="4" spans="1:10" x14ac:dyDescent="0.25">
      <c r="A4">
        <v>2</v>
      </c>
      <c r="B4" s="7">
        <v>1</v>
      </c>
      <c r="C4" s="8">
        <v>0</v>
      </c>
      <c r="D4" s="9">
        <v>1</v>
      </c>
    </row>
    <row r="5" spans="1:10" x14ac:dyDescent="0.25">
      <c r="A5">
        <v>3</v>
      </c>
      <c r="B5" s="10">
        <v>0</v>
      </c>
      <c r="C5" s="11">
        <v>1</v>
      </c>
      <c r="D5" s="12">
        <v>0</v>
      </c>
    </row>
    <row r="7" spans="1:10" x14ac:dyDescent="0.25">
      <c r="B7" t="s">
        <v>14</v>
      </c>
    </row>
    <row r="8" spans="1:10" x14ac:dyDescent="0.25">
      <c r="A8" t="s">
        <v>13</v>
      </c>
      <c r="B8" t="s">
        <v>16</v>
      </c>
      <c r="C8" t="s">
        <v>17</v>
      </c>
      <c r="D8" t="s">
        <v>18</v>
      </c>
      <c r="J8" t="s">
        <v>24</v>
      </c>
    </row>
    <row r="9" spans="1:10" x14ac:dyDescent="0.25">
      <c r="A9" t="s">
        <v>22</v>
      </c>
      <c r="B9">
        <v>1</v>
      </c>
      <c r="C9">
        <v>1</v>
      </c>
      <c r="D9">
        <v>1</v>
      </c>
    </row>
    <row r="10" spans="1:10" x14ac:dyDescent="0.25">
      <c r="A10" t="s">
        <v>19</v>
      </c>
      <c r="B10" s="4">
        <f>B4-B3</f>
        <v>1</v>
      </c>
      <c r="C10" s="5">
        <f>C4-C3</f>
        <v>0</v>
      </c>
      <c r="D10" s="6">
        <f>D4-D3</f>
        <v>1</v>
      </c>
      <c r="J10">
        <f>(B10^2+C10^2+D10^2)^0.5</f>
        <v>1.4142135623730951</v>
      </c>
    </row>
    <row r="11" spans="1:10" ht="15.75" thickBot="1" x14ac:dyDescent="0.3">
      <c r="A11" t="s">
        <v>20</v>
      </c>
      <c r="B11" s="7">
        <f>B5-B3</f>
        <v>0</v>
      </c>
      <c r="C11" s="8">
        <f t="shared" ref="C11:D11" si="0">C5-C3</f>
        <v>1</v>
      </c>
      <c r="D11" s="9">
        <f t="shared" si="0"/>
        <v>0</v>
      </c>
      <c r="F11" t="s">
        <v>16</v>
      </c>
      <c r="G11" t="s">
        <v>17</v>
      </c>
      <c r="H11" t="s">
        <v>18</v>
      </c>
      <c r="J11">
        <f t="shared" ref="J11" si="1">(B11^2+C11^2+D11^2)^0.5</f>
        <v>1</v>
      </c>
    </row>
    <row r="12" spans="1:10" ht="15.75" thickBot="1" x14ac:dyDescent="0.3">
      <c r="A12" t="s">
        <v>21</v>
      </c>
      <c r="B12" s="13" t="s">
        <v>68</v>
      </c>
      <c r="C12" s="14"/>
      <c r="D12" s="15"/>
      <c r="E12" t="s">
        <v>23</v>
      </c>
      <c r="F12" s="3">
        <f>C10*D11-D10*C11</f>
        <v>-1</v>
      </c>
      <c r="G12" s="3">
        <f>B10*D11-D10*B11</f>
        <v>0</v>
      </c>
      <c r="H12" s="3">
        <f>B10*C11-C10*B11</f>
        <v>1</v>
      </c>
      <c r="J12">
        <f>(F12^2+G12^2+H12^2)^0.5</f>
        <v>1.4142135623730951</v>
      </c>
    </row>
    <row r="13" spans="1:10" x14ac:dyDescent="0.25">
      <c r="B13" s="16"/>
    </row>
    <row r="14" spans="1:10" x14ac:dyDescent="0.25">
      <c r="A14" t="s">
        <v>15</v>
      </c>
    </row>
    <row r="16" spans="1:10" x14ac:dyDescent="0.25">
      <c r="A16" t="s">
        <v>25</v>
      </c>
      <c r="B16">
        <f>B10*B11+C10*C11+D10*D11</f>
        <v>0</v>
      </c>
    </row>
    <row r="17" spans="1:4" x14ac:dyDescent="0.25">
      <c r="A17" t="s">
        <v>26</v>
      </c>
      <c r="B17">
        <f>B16/(J10*J11)</f>
        <v>0</v>
      </c>
      <c r="C17" s="3" t="str">
        <f>IF(B17=0,"все супер","какой-то затык")</f>
        <v>все супер</v>
      </c>
    </row>
    <row r="18" spans="1:4" x14ac:dyDescent="0.25">
      <c r="C18" s="3"/>
    </row>
    <row r="19" spans="1:4" x14ac:dyDescent="0.25">
      <c r="A19" s="16" t="s">
        <v>69</v>
      </c>
    </row>
    <row r="21" spans="1:4" x14ac:dyDescent="0.25">
      <c r="A21" t="s">
        <v>27</v>
      </c>
      <c r="B21">
        <v>5</v>
      </c>
    </row>
    <row r="23" spans="1:4" x14ac:dyDescent="0.25">
      <c r="A23" t="s">
        <v>28</v>
      </c>
    </row>
    <row r="24" spans="1:4" x14ac:dyDescent="0.25">
      <c r="A24" t="s">
        <v>29</v>
      </c>
    </row>
    <row r="25" spans="1:4" x14ac:dyDescent="0.25">
      <c r="A25" t="s">
        <v>30</v>
      </c>
    </row>
    <row r="26" spans="1:4" x14ac:dyDescent="0.25">
      <c r="B26">
        <f>B21+J12</f>
        <v>6.4142135623730949</v>
      </c>
    </row>
    <row r="28" spans="1:4" x14ac:dyDescent="0.25">
      <c r="A28" t="s">
        <v>31</v>
      </c>
      <c r="B28">
        <f>B26/J12</f>
        <v>4.5355339059327369</v>
      </c>
    </row>
    <row r="30" spans="1:4" x14ac:dyDescent="0.25">
      <c r="A30" t="s">
        <v>70</v>
      </c>
      <c r="B30">
        <f>$B$28*F12</f>
        <v>-4.5355339059327369</v>
      </c>
      <c r="C30">
        <f t="shared" ref="C30:D30" si="2">$B$28*G12</f>
        <v>0</v>
      </c>
      <c r="D30">
        <f t="shared" si="2"/>
        <v>4.5355339059327369</v>
      </c>
    </row>
    <row r="32" spans="1:4" x14ac:dyDescent="0.25">
      <c r="A32" t="s">
        <v>32</v>
      </c>
    </row>
    <row r="33" spans="2:4" x14ac:dyDescent="0.25">
      <c r="B33">
        <f>F12-B30</f>
        <v>3.5355339059327369</v>
      </c>
      <c r="C33">
        <f t="shared" ref="C33:D33" si="3">G12-C30</f>
        <v>0</v>
      </c>
      <c r="D33">
        <f t="shared" si="3"/>
        <v>-3.5355339059327369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74"/>
  <sheetViews>
    <sheetView tabSelected="1" workbookViewId="0">
      <selection activeCell="U18" sqref="U18"/>
    </sheetView>
  </sheetViews>
  <sheetFormatPr defaultRowHeight="15" x14ac:dyDescent="0.25"/>
  <sheetData>
    <row r="2" spans="1:22" x14ac:dyDescent="0.25">
      <c r="B2" t="s">
        <v>51</v>
      </c>
    </row>
    <row r="3" spans="1:22" x14ac:dyDescent="0.25">
      <c r="B3" t="s">
        <v>52</v>
      </c>
    </row>
    <row r="4" spans="1:22" s="38" customFormat="1" x14ac:dyDescent="0.25">
      <c r="B4" s="38" t="s">
        <v>84</v>
      </c>
      <c r="G4" s="38" t="s">
        <v>76</v>
      </c>
    </row>
    <row r="5" spans="1:22" s="38" customFormat="1" ht="15.75" thickBot="1" x14ac:dyDescent="0.3">
      <c r="B5" s="16" t="s">
        <v>85</v>
      </c>
    </row>
    <row r="6" spans="1:22" ht="15.75" thickBot="1" x14ac:dyDescent="0.3">
      <c r="B6" s="23"/>
      <c r="C6" s="25" t="s">
        <v>16</v>
      </c>
      <c r="D6" s="25" t="s">
        <v>17</v>
      </c>
      <c r="E6" s="26" t="s">
        <v>18</v>
      </c>
      <c r="G6" s="23"/>
      <c r="H6" s="25" t="s">
        <v>16</v>
      </c>
      <c r="I6" s="25" t="s">
        <v>17</v>
      </c>
      <c r="J6" s="26" t="s">
        <v>18</v>
      </c>
      <c r="K6" s="27" t="s">
        <v>77</v>
      </c>
    </row>
    <row r="7" spans="1:22" x14ac:dyDescent="0.25">
      <c r="B7" s="21" t="s">
        <v>40</v>
      </c>
      <c r="C7" s="51">
        <v>0</v>
      </c>
      <c r="D7" s="51">
        <v>1</v>
      </c>
      <c r="E7" s="52">
        <v>0</v>
      </c>
      <c r="G7" s="21" t="s">
        <v>40</v>
      </c>
      <c r="H7" s="55">
        <f>C72</f>
        <v>0.70710678118654746</v>
      </c>
      <c r="I7" s="55">
        <f t="shared" ref="I7:J7" si="0">D72</f>
        <v>0.70710678118654746</v>
      </c>
      <c r="J7" s="55">
        <f t="shared" si="0"/>
        <v>0</v>
      </c>
    </row>
    <row r="8" spans="1:22" x14ac:dyDescent="0.25">
      <c r="B8" s="21" t="s">
        <v>41</v>
      </c>
      <c r="C8" s="51">
        <v>-1</v>
      </c>
      <c r="D8" s="51">
        <v>0</v>
      </c>
      <c r="E8" s="52">
        <v>0</v>
      </c>
      <c r="F8" t="s">
        <v>23</v>
      </c>
      <c r="G8" s="21" t="s">
        <v>41</v>
      </c>
      <c r="H8" s="55">
        <f t="shared" ref="H8:H9" si="1">C73</f>
        <v>0.40824829046386307</v>
      </c>
      <c r="I8" s="55">
        <f t="shared" ref="I8:I9" si="2">D73</f>
        <v>-0.40824829046386307</v>
      </c>
      <c r="J8" s="55">
        <f t="shared" ref="J8:J9" si="3">E73</f>
        <v>0.81649658092772615</v>
      </c>
    </row>
    <row r="9" spans="1:22" ht="15.75" thickBot="1" x14ac:dyDescent="0.3">
      <c r="B9" s="22" t="s">
        <v>42</v>
      </c>
      <c r="C9" s="53">
        <v>0</v>
      </c>
      <c r="D9" s="53">
        <v>0</v>
      </c>
      <c r="E9" s="54">
        <v>1</v>
      </c>
      <c r="G9" s="22" t="s">
        <v>42</v>
      </c>
      <c r="H9" s="55">
        <f t="shared" si="1"/>
        <v>0.57735026918962584</v>
      </c>
      <c r="I9" s="55">
        <f t="shared" si="2"/>
        <v>-0.57735026918962584</v>
      </c>
      <c r="J9" s="55">
        <f t="shared" si="3"/>
        <v>-0.57735026918962584</v>
      </c>
    </row>
    <row r="11" spans="1:22" ht="15.75" thickBot="1" x14ac:dyDescent="0.3">
      <c r="B11" t="s">
        <v>78</v>
      </c>
    </row>
    <row r="12" spans="1:22" ht="15.75" thickBot="1" x14ac:dyDescent="0.3">
      <c r="B12" s="23"/>
      <c r="C12" s="25" t="s">
        <v>16</v>
      </c>
      <c r="D12" s="25" t="s">
        <v>17</v>
      </c>
      <c r="E12" s="26" t="s">
        <v>18</v>
      </c>
      <c r="F12" s="38"/>
      <c r="J12" s="38">
        <v>0</v>
      </c>
      <c r="K12" s="38">
        <v>-1</v>
      </c>
      <c r="L12">
        <v>0</v>
      </c>
      <c r="N12">
        <f t="array" ref="N12:N13">MMULT(J12:K13,L12:L13)</f>
        <v>4</v>
      </c>
      <c r="P12">
        <v>0</v>
      </c>
      <c r="Q12">
        <v>0</v>
      </c>
      <c r="R12">
        <f>-J9/H9</f>
        <v>1</v>
      </c>
      <c r="T12">
        <v>0</v>
      </c>
      <c r="V12">
        <f t="array" ref="V12:V14">MMULT(P12:R14,T12:T14)</f>
        <v>2</v>
      </c>
    </row>
    <row r="13" spans="1:22" x14ac:dyDescent="0.25">
      <c r="A13" t="s">
        <v>86</v>
      </c>
      <c r="B13" s="21">
        <v>1</v>
      </c>
      <c r="C13" s="8">
        <v>-1</v>
      </c>
      <c r="D13" s="8">
        <v>0</v>
      </c>
      <c r="E13" s="18">
        <v>0</v>
      </c>
      <c r="G13" s="38"/>
      <c r="J13" s="38">
        <v>0</v>
      </c>
      <c r="K13" s="38">
        <v>1</v>
      </c>
      <c r="L13">
        <v>-4</v>
      </c>
      <c r="N13">
        <v>-4</v>
      </c>
      <c r="P13">
        <v>0</v>
      </c>
      <c r="Q13">
        <v>0</v>
      </c>
      <c r="R13">
        <f>-J9/I9</f>
        <v>-1</v>
      </c>
      <c r="T13">
        <v>0</v>
      </c>
      <c r="V13">
        <v>-2</v>
      </c>
    </row>
    <row r="14" spans="1:22" x14ac:dyDescent="0.25">
      <c r="B14" s="21">
        <v>2</v>
      </c>
      <c r="C14" s="8">
        <v>0</v>
      </c>
      <c r="D14" s="8">
        <v>1</v>
      </c>
      <c r="E14" s="18">
        <v>0</v>
      </c>
      <c r="G14" s="38"/>
      <c r="H14" s="27"/>
      <c r="I14" s="38"/>
      <c r="J14" s="38"/>
      <c r="K14" s="38"/>
      <c r="P14">
        <v>0</v>
      </c>
      <c r="Q14">
        <v>0</v>
      </c>
      <c r="R14">
        <v>1</v>
      </c>
      <c r="T14">
        <v>2</v>
      </c>
      <c r="V14">
        <v>2</v>
      </c>
    </row>
    <row r="15" spans="1:22" ht="15.75" thickBot="1" x14ac:dyDescent="0.3">
      <c r="B15" s="22">
        <v>3</v>
      </c>
      <c r="C15" s="19">
        <v>0</v>
      </c>
      <c r="D15" s="19">
        <v>0</v>
      </c>
      <c r="E15" s="20">
        <v>1</v>
      </c>
      <c r="G15" s="38"/>
      <c r="H15" s="38"/>
      <c r="I15" s="38"/>
      <c r="J15" s="38"/>
      <c r="K15" s="38"/>
    </row>
    <row r="17" spans="2:16" x14ac:dyDescent="0.25">
      <c r="B17" t="s">
        <v>80</v>
      </c>
    </row>
    <row r="18" spans="2:16" x14ac:dyDescent="0.25">
      <c r="C18" s="39" t="s">
        <v>16</v>
      </c>
      <c r="D18" s="40" t="s">
        <v>17</v>
      </c>
      <c r="E18" s="41" t="s">
        <v>18</v>
      </c>
    </row>
    <row r="19" spans="2:16" x14ac:dyDescent="0.25">
      <c r="C19" s="10">
        <f>C14-C13</f>
        <v>1</v>
      </c>
      <c r="D19" s="11">
        <f t="shared" ref="D19:E19" si="4">D14-D13</f>
        <v>1</v>
      </c>
      <c r="E19" s="12">
        <f t="shared" si="4"/>
        <v>0</v>
      </c>
    </row>
    <row r="21" spans="2:16" x14ac:dyDescent="0.25">
      <c r="B21" t="s">
        <v>53</v>
      </c>
    </row>
    <row r="23" spans="2:16" x14ac:dyDescent="0.25">
      <c r="M23" s="45"/>
      <c r="N23" s="46"/>
      <c r="O23" s="47"/>
    </row>
    <row r="24" spans="2:16" x14ac:dyDescent="0.25">
      <c r="M24" s="42"/>
      <c r="N24" s="43"/>
      <c r="O24" s="44"/>
    </row>
    <row r="25" spans="2:16" x14ac:dyDescent="0.25">
      <c r="M25" s="48"/>
      <c r="N25" s="49"/>
      <c r="O25" s="50"/>
    </row>
    <row r="30" spans="2:16" x14ac:dyDescent="0.25">
      <c r="B30" t="s">
        <v>54</v>
      </c>
      <c r="F30" t="s">
        <v>55</v>
      </c>
      <c r="J30" t="s">
        <v>56</v>
      </c>
      <c r="N30" t="s">
        <v>57</v>
      </c>
    </row>
    <row r="31" spans="2:16" x14ac:dyDescent="0.25">
      <c r="B31" s="4">
        <v>1</v>
      </c>
      <c r="C31" s="5">
        <f>D13</f>
        <v>0</v>
      </c>
      <c r="D31" s="6">
        <f>E13</f>
        <v>0</v>
      </c>
      <c r="F31" s="4">
        <f>C13</f>
        <v>-1</v>
      </c>
      <c r="G31" s="5">
        <f>B31</f>
        <v>1</v>
      </c>
      <c r="H31" s="6">
        <f>E13</f>
        <v>0</v>
      </c>
      <c r="J31" s="4">
        <f>C13</f>
        <v>-1</v>
      </c>
      <c r="K31" s="5">
        <f>D13</f>
        <v>0</v>
      </c>
      <c r="L31" s="6">
        <f>B31</f>
        <v>1</v>
      </c>
      <c r="N31" s="4">
        <f>C13</f>
        <v>-1</v>
      </c>
      <c r="O31" s="5">
        <f>D13</f>
        <v>0</v>
      </c>
      <c r="P31" s="6">
        <f>E13</f>
        <v>0</v>
      </c>
    </row>
    <row r="32" spans="2:16" x14ac:dyDescent="0.25">
      <c r="B32" s="7">
        <v>1</v>
      </c>
      <c r="C32" s="8">
        <f t="shared" ref="C32:D33" si="5">D14</f>
        <v>1</v>
      </c>
      <c r="D32" s="9">
        <f t="shared" si="5"/>
        <v>0</v>
      </c>
      <c r="F32" s="7">
        <f t="shared" ref="F32:F33" si="6">C14</f>
        <v>0</v>
      </c>
      <c r="G32" s="8">
        <f t="shared" ref="G32:G33" si="7">B32</f>
        <v>1</v>
      </c>
      <c r="H32" s="9">
        <f t="shared" ref="H32:H33" si="8">E14</f>
        <v>0</v>
      </c>
      <c r="J32" s="7">
        <f t="shared" ref="J32:J33" si="9">C14</f>
        <v>0</v>
      </c>
      <c r="K32" s="8">
        <f t="shared" ref="K32:K33" si="10">D14</f>
        <v>1</v>
      </c>
      <c r="L32" s="9">
        <f t="shared" ref="L32:L33" si="11">B32</f>
        <v>1</v>
      </c>
      <c r="N32" s="7">
        <f t="shared" ref="N32:N33" si="12">C14</f>
        <v>0</v>
      </c>
      <c r="O32" s="8">
        <f t="shared" ref="O32:O33" si="13">D14</f>
        <v>1</v>
      </c>
      <c r="P32" s="9">
        <f t="shared" ref="P32:P33" si="14">E14</f>
        <v>0</v>
      </c>
    </row>
    <row r="33" spans="1:16" x14ac:dyDescent="0.25">
      <c r="B33" s="10">
        <v>1</v>
      </c>
      <c r="C33" s="11">
        <f t="shared" si="5"/>
        <v>0</v>
      </c>
      <c r="D33" s="12">
        <f t="shared" si="5"/>
        <v>1</v>
      </c>
      <c r="F33" s="10">
        <f t="shared" si="6"/>
        <v>0</v>
      </c>
      <c r="G33" s="11">
        <f t="shared" si="7"/>
        <v>1</v>
      </c>
      <c r="H33" s="12">
        <f t="shared" si="8"/>
        <v>1</v>
      </c>
      <c r="J33" s="10">
        <f t="shared" si="9"/>
        <v>0</v>
      </c>
      <c r="K33" s="11">
        <f t="shared" si="10"/>
        <v>0</v>
      </c>
      <c r="L33" s="12">
        <f t="shared" si="11"/>
        <v>1</v>
      </c>
      <c r="N33" s="10">
        <f t="shared" si="12"/>
        <v>0</v>
      </c>
      <c r="O33" s="11">
        <f t="shared" si="13"/>
        <v>0</v>
      </c>
      <c r="P33" s="12">
        <f t="shared" si="14"/>
        <v>1</v>
      </c>
    </row>
    <row r="34" spans="1:16" s="38" customFormat="1" x14ac:dyDescent="0.25"/>
    <row r="35" spans="1:16" s="38" customFormat="1" x14ac:dyDescent="0.25">
      <c r="B35" s="38" t="s">
        <v>79</v>
      </c>
    </row>
    <row r="37" spans="1:16" x14ac:dyDescent="0.25">
      <c r="A37" t="s">
        <v>63</v>
      </c>
      <c r="B37" s="3">
        <f>MDETERM(B31:D33)</f>
        <v>1</v>
      </c>
      <c r="E37" t="s">
        <v>64</v>
      </c>
      <c r="F37" s="3">
        <f>MDETERM(F31:H33)</f>
        <v>-1</v>
      </c>
      <c r="I37" t="s">
        <v>65</v>
      </c>
      <c r="J37" s="3">
        <f>MDETERM(J31:L33)</f>
        <v>-1</v>
      </c>
      <c r="N37">
        <f>-MDETERM(N31:P33)</f>
        <v>1</v>
      </c>
    </row>
    <row r="38" spans="1:16" x14ac:dyDescent="0.25">
      <c r="I38" s="38"/>
      <c r="J38" s="38"/>
      <c r="K38" s="38"/>
      <c r="L38" s="38"/>
      <c r="M38" s="38"/>
    </row>
    <row r="39" spans="1:16" x14ac:dyDescent="0.25">
      <c r="I39" s="38"/>
      <c r="J39" s="38"/>
      <c r="K39" s="38"/>
      <c r="L39" s="38"/>
      <c r="M39" s="38"/>
    </row>
    <row r="40" spans="1:16" s="38" customFormat="1" x14ac:dyDescent="0.25"/>
    <row r="41" spans="1:16" s="38" customFormat="1" x14ac:dyDescent="0.25"/>
    <row r="42" spans="1:16" s="38" customFormat="1" x14ac:dyDescent="0.25"/>
    <row r="43" spans="1:16" s="38" customFormat="1" x14ac:dyDescent="0.25"/>
    <row r="44" spans="1:16" x14ac:dyDescent="0.25">
      <c r="I44" s="38"/>
      <c r="J44" s="38"/>
      <c r="K44" s="38"/>
      <c r="L44" s="38"/>
      <c r="M44" s="38"/>
    </row>
    <row r="47" spans="1:16" ht="15.75" thickBot="1" x14ac:dyDescent="0.3">
      <c r="B47" t="s">
        <v>81</v>
      </c>
    </row>
    <row r="48" spans="1:16" ht="15.75" thickBot="1" x14ac:dyDescent="0.3">
      <c r="B48" s="23"/>
      <c r="C48" s="25" t="s">
        <v>16</v>
      </c>
      <c r="D48" s="25" t="s">
        <v>17</v>
      </c>
      <c r="E48" s="26" t="s">
        <v>18</v>
      </c>
      <c r="G48" t="s">
        <v>75</v>
      </c>
    </row>
    <row r="49" spans="1:9" x14ac:dyDescent="0.25">
      <c r="A49" t="s">
        <v>74</v>
      </c>
      <c r="B49" s="21" t="s">
        <v>58</v>
      </c>
      <c r="C49" s="8">
        <f>B37</f>
        <v>1</v>
      </c>
      <c r="D49" s="8">
        <f>F37</f>
        <v>-1</v>
      </c>
      <c r="E49" s="56">
        <f>J37</f>
        <v>-1</v>
      </c>
      <c r="G49">
        <f>(C49^2+D49^2+E49^2)^0.5</f>
        <v>1.7320508075688772</v>
      </c>
    </row>
    <row r="50" spans="1:9" x14ac:dyDescent="0.25">
      <c r="A50" t="s">
        <v>72</v>
      </c>
      <c r="B50" s="21" t="s">
        <v>59</v>
      </c>
      <c r="C50" s="8">
        <f>C19</f>
        <v>1</v>
      </c>
      <c r="D50" s="8">
        <f t="shared" ref="D50:E50" si="15">D19</f>
        <v>1</v>
      </c>
      <c r="E50" s="18">
        <f t="shared" si="15"/>
        <v>0</v>
      </c>
      <c r="G50" s="38">
        <f t="shared" ref="G50:G60" si="16">(C50^2+D50^2+E50^2)^0.5</f>
        <v>1.4142135623730951</v>
      </c>
    </row>
    <row r="51" spans="1:9" ht="15.75" thickBot="1" x14ac:dyDescent="0.3">
      <c r="A51" t="s">
        <v>73</v>
      </c>
      <c r="B51" s="22" t="s">
        <v>87</v>
      </c>
      <c r="C51" s="19">
        <f>D49*E50-E49*D50</f>
        <v>1</v>
      </c>
      <c r="D51" s="19">
        <f>E49*C50-C49*E50</f>
        <v>-1</v>
      </c>
      <c r="E51" s="20">
        <f>C49*D50-D49*C50</f>
        <v>2</v>
      </c>
      <c r="G51" s="38">
        <f t="shared" si="16"/>
        <v>2.4494897427831779</v>
      </c>
      <c r="I51" s="16" t="s">
        <v>88</v>
      </c>
    </row>
    <row r="52" spans="1:9" x14ac:dyDescent="0.25">
      <c r="G52" s="38"/>
    </row>
    <row r="53" spans="1:9" x14ac:dyDescent="0.25">
      <c r="B53" t="s">
        <v>66</v>
      </c>
      <c r="G53" s="38"/>
    </row>
    <row r="54" spans="1:9" x14ac:dyDescent="0.25">
      <c r="B54" t="s">
        <v>71</v>
      </c>
      <c r="G54" s="38"/>
    </row>
    <row r="55" spans="1:9" x14ac:dyDescent="0.25">
      <c r="B55" t="s">
        <v>67</v>
      </c>
      <c r="G55" s="38"/>
    </row>
    <row r="56" spans="1:9" ht="15.75" thickBot="1" x14ac:dyDescent="0.3">
      <c r="G56" s="38"/>
    </row>
    <row r="57" spans="1:9" ht="15.75" thickBot="1" x14ac:dyDescent="0.3">
      <c r="B57" s="23"/>
      <c r="C57" s="25" t="s">
        <v>16</v>
      </c>
      <c r="D57" s="25" t="s">
        <v>17</v>
      </c>
      <c r="E57" s="26" t="s">
        <v>18</v>
      </c>
      <c r="G57" s="38"/>
    </row>
    <row r="58" spans="1:9" x14ac:dyDescent="0.25">
      <c r="A58" t="s">
        <v>61</v>
      </c>
      <c r="B58" s="21">
        <v>1</v>
      </c>
      <c r="C58" s="8">
        <v>1</v>
      </c>
      <c r="D58" s="8">
        <v>0</v>
      </c>
      <c r="E58" s="18">
        <v>0</v>
      </c>
      <c r="G58" s="38">
        <f>(C58^2+D58^2+E58^2)^0.5</f>
        <v>1</v>
      </c>
    </row>
    <row r="59" spans="1:9" x14ac:dyDescent="0.25">
      <c r="A59" t="s">
        <v>62</v>
      </c>
      <c r="B59" s="21">
        <v>2</v>
      </c>
      <c r="C59" s="8">
        <v>0</v>
      </c>
      <c r="D59" s="8">
        <v>1</v>
      </c>
      <c r="E59" s="18">
        <v>0</v>
      </c>
      <c r="G59" s="38">
        <f t="shared" si="16"/>
        <v>1</v>
      </c>
    </row>
    <row r="60" spans="1:9" ht="15.75" thickBot="1" x14ac:dyDescent="0.3">
      <c r="A60" t="s">
        <v>60</v>
      </c>
      <c r="B60" s="22">
        <v>3</v>
      </c>
      <c r="C60" s="19">
        <v>0</v>
      </c>
      <c r="D60" s="19">
        <v>0</v>
      </c>
      <c r="E60" s="20">
        <v>1</v>
      </c>
      <c r="G60" s="38">
        <f t="shared" si="16"/>
        <v>1</v>
      </c>
    </row>
    <row r="70" spans="2:5" ht="15.75" thickBot="1" x14ac:dyDescent="0.3">
      <c r="B70" t="s">
        <v>89</v>
      </c>
    </row>
    <row r="71" spans="2:5" ht="15.75" thickBot="1" x14ac:dyDescent="0.3">
      <c r="B71" s="23"/>
      <c r="C71" s="25" t="s">
        <v>16</v>
      </c>
      <c r="D71" s="25" t="s">
        <v>17</v>
      </c>
      <c r="E71" s="26" t="s">
        <v>18</v>
      </c>
    </row>
    <row r="72" spans="2:5" x14ac:dyDescent="0.25">
      <c r="B72" s="21" t="s">
        <v>40</v>
      </c>
      <c r="C72" s="3">
        <f>SUMPRODUCT(C50:E50,C58:E58)/(G50*G58)</f>
        <v>0.70710678118654746</v>
      </c>
      <c r="D72" s="3">
        <f>SUMPRODUCT(C50:E50,C59:E59)/(G50*G59)</f>
        <v>0.70710678118654746</v>
      </c>
      <c r="E72" s="3">
        <f>SUMPRODUCT(C60:E60,C50:E50)/(G60*G50)</f>
        <v>0</v>
      </c>
    </row>
    <row r="73" spans="2:5" x14ac:dyDescent="0.25">
      <c r="B73" s="21" t="s">
        <v>41</v>
      </c>
      <c r="C73" s="3">
        <f>SUMPRODUCT(C58:E58,C51:E51)/(G58*G51)</f>
        <v>0.40824829046386307</v>
      </c>
      <c r="D73" s="3">
        <f>SUMPRODUCT(C51:E51,C59:E59)/(G59*G51)</f>
        <v>-0.40824829046386307</v>
      </c>
      <c r="E73" s="3">
        <f>SUMPRODUCT(C60:E60,C51:E51)/(G60*G51)</f>
        <v>0.81649658092772615</v>
      </c>
    </row>
    <row r="74" spans="2:5" ht="15.75" thickBot="1" x14ac:dyDescent="0.3">
      <c r="B74" s="22" t="s">
        <v>42</v>
      </c>
      <c r="C74" s="3">
        <f>SUMPRODUCT(C49:E49,C58:E58)/(G58*G49)</f>
        <v>0.57735026918962584</v>
      </c>
      <c r="D74" s="3">
        <f>SUMPRODUCT(C49:E49,C59:E59)/(G49*G59)</f>
        <v>-0.57735026918962584</v>
      </c>
      <c r="E74" s="3">
        <f>SUMPRODUCT(C60:E60,C49:E49)/(G60*G49)</f>
        <v>-0.57735026918962584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лист компоненты тензора</vt:lpstr>
      <vt:lpstr>3 лист смещение источника</vt:lpstr>
      <vt:lpstr>2 лист cos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Георгий Биленко</dc:creator>
  <cp:lastModifiedBy>Георгий Биленко</cp:lastModifiedBy>
  <dcterms:created xsi:type="dcterms:W3CDTF">2022-04-15T07:51:21Z</dcterms:created>
  <dcterms:modified xsi:type="dcterms:W3CDTF">2022-10-17T21:00:57Z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06ec3536-0b0d-481b-8485-bc523ca7bc65</vt:lpwstr>
  </property>
</Properties>
</file>